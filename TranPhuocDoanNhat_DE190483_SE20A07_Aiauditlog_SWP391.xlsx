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08" firstSheet="3"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<sst xmlns="http://schemas.openxmlformats.org/spreadsheetml/2006/main" count="488" uniqueCount="414">
  <si>
    <t>AI AUDIT LOG - METADATA &amp; SUMMARY</t>
  </si>
  <si>
    <t>STUDENT INFORMATION</t>
  </si>
  <si>
    <t>Student Name:</t>
  </si>
  <si>
    <t>Trần Phước Đoàn Nhật</t>
  </si>
  <si>
    <t>Student ID:</t>
  </si>
  <si>
    <t>DE190483</t>
  </si>
  <si>
    <t>Course:</t>
  </si>
  <si>
    <t>SWP391</t>
  </si>
  <si>
    <t>Assignment:</t>
  </si>
  <si>
    <t>Integrated HR and Project Management System (HRP)</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</si>
  <si>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</si>
  <si>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</si>
  <si>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</si>
  <si>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</si>
  <si>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</si>
  <si>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</si>
  <si>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</si>
  <si>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</si>
  <si>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</si>
  <si>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</si>
  <si>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</si>
  <si>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</si>
  <si>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</si>
  <si>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</si>
  <si>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</si>
  <si>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</si>
  <si>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</si>
  <si>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</si>
  <si>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</si>
  <si>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</si>
  <si>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</si>
  <si>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</si>
  <si>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Gemini</t>
  </si>
  <si>
    <t>Evaluating AI outputs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</si>
  <si>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</si>
  <si>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</si>
  <si>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</si>
  <si>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</si>
  <si>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</si>
  <si>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</si>
  <si>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</si>
  <si>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</si>
  <si>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</si>
  <si>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</si>
  <si>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</si>
  <si>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</si>
  <si>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</si>
  <si>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</si>
  <si>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</si>
  <si>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</si>
  <si>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</si>
  <si>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</si>
  <si>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</si>
  <si>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DECISION-MAKING</t>
  </si>
  <si>
    <t>Need to visualize the entire EduDesk Use Case diagram (4 actors, modules G1-G8) without making it unreadable.</t>
  </si>
  <si>
    <t>"Draw a full Use Case diagram for EduDesk using Mermaid code, including Student, Advisor, Admin, AI Engine, and modules G1-G8."</t>
  </si>
  <si>
    <t>AI generated a single, massive Mermaid graph combining all actors and functions, resulting in a cluttered layout.</t>
  </si>
  <si>
    <t>Critical Thinking: The monolithic diagram was unusable for SRS.
Contextualization: Real-world standards require stakeholder-specific docs.
Creative Synthesis: Rejected single-graph output, manually divided into 3 Role-based portals.
Decision Ownership: Opted for separated diagrams to ensure readability.</t>
  </si>
  <si>
    <t>Screenshot comparison of 1 combined vs 3 separated graphs.</t>
  </si>
  <si>
    <t>PROBLEM-SOLVING</t>
  </si>
  <si>
    <t>Cần xác định mối quan hệ UML giữa Use Case "Submit Assignment" của Student và "Plagiarism Check" của AI Engine trong module G3.</t>
  </si>
  <si>
    <t>How to optimize search for player name in 10,000 records?</t>
  </si>
  <si>
    <t>"In EduDesk module G3, when a Student submits an assignment, the AI Engine runs a plagiarism check. Write the Mermaid Use Case code and set the correct include/extend relationship."</t>
  </si>
  <si>
    <t>Critical Thinking: &gt; Phát hiện AI mắc lỗi Context Misunderstanding (Hallucination). AI áp dụng generic template rập khuôn thay vì strict business rule của project.
Contextualization: &gt; Trong hệ thống EduDesk, chức năng plagiarism check là 100% mandatory (bắt buộc) cho mỗi lần nộp bài, không phải là một optional branch.
Creative Synthesis: &gt; Tôi đã loại bỏ logic sai của AI, tự sửa lại Mermaid syntax thành quan hệ &lt;&lt;include&gt;&gt; trỏ từ "Submit Assignment" sang "Plagiarism Check".
Decision Ownership: &gt; Chọn &lt;&lt;include&gt;&gt; để đảm bảo đúng mandatory business flow, giúp ngăn future developers miss việc gọi API kiểm tra đạo văn bắt buộc này.</t>
  </si>
  <si>
    <t>Screenshot đoạn Mermaid code AI viết sai (extend) và đoạn code tôi đã fix lại (include) kèm hình ảnh biểu đồ.</t>
  </si>
  <si>
    <t>Cần thiết kế Database schema để lưu kết quả kiểm tra đạo văn (Plagiarism Check) trong module G3.</t>
  </si>
  <si>
    <t>"Design the database schema for the Plagiarism Check result linked to an Assignment Submission in SQL."</t>
  </si>
  <si>
    <t>AI suggested adding a single plagiarism_score column directly to the existing Assignment_Submission table.</t>
  </si>
  <si>
    <t>Critical Thinking: Lưu thẳng vào 1 cột thì không thể lưu detail (matched URLs, highlighted text).
Contextualization: EduDesk yêu cầu Advisor xem được chi tiết báo cáo đạo văn, không chỉ mỗi con số %.
Creative Synthesis: Tách ra thành bảng Plagiarism_Report riêng (quan hệ 1-1 với Submission) gồm score, matched_sources, checked_at.
Decision Ownership: Chọn phương án tách bảng để đảm bảo tính mở rộng (scalability) và lưu trữ đầy đủ dữ liệu báo cáo.</t>
  </si>
  <si>
    <t>Screenshot ERD comparison: 1 merged table vs 2 separated tables.</t>
  </si>
  <si>
    <t>Algorithms / Research</t>
  </si>
  <si>
    <t>Tìm thư viện Java để trích xuất text từ file PDF/Word sinh viên nộp trước khi đẩy data cho AI Engine check đạo văn.</t>
  </si>
  <si>
    <t>"Suggest a free Java library to extract text from PDF and DOCX files for the plagiarism check module."</t>
  </si>
  <si>
    <t>AI suggested using "Apache DocuParse API" and provided some sample code implementation.</t>
  </si>
  <si>
    <t>Critical Thinking: Phát hiện lỗi Fabrication. Thư viện "Apache DocuParse" không hề tồn tại thực tế.
Contextualization: Project cần thư viện open-source thật, độ ổn định cao và có document rõ ràng.
Creative Synthesis: Bỏ qua code fake của AI. Tự research và kết hợp 2 thư viện chuẩn: Apache PDFBox cho file PDF và Apache POI cho DOCX.
Decision Ownership: Quyết định dùng combo PDFBox + POI vì đây là industry standard, đảm bảo project chạy được.</t>
  </si>
  <si>
    <t>Screenshot of Google search showing "Apache DocuParse" NOT FOUND, and code snippet of PDFBox.</t>
  </si>
  <si>
    <t>Cần phân rã các module chức năng (Employee, Attendance, Payroll) cho các actor (Nhân viên, HR, Admin) trong hệ thống HRP sao cho dễ quản lý.</t>
  </si>
  <si>
    <t>"Draw a full Use Case diagram for an HRP system covering Employee, Attendance, and Payroll modules for 3 actors: Employee, HR Manager, and Admin using Mermaid code."</t>
  </si>
  <si>
    <t>AI generated a single complex diagram where HR Manager and Admin had heavily overlapping use cases, making the graph cluttered and permissions hard to distinguish.</t>
  </si>
  <si>
    <t>Critical Thinking: Nhận thấy sự chồng chéo quyền hạn trong biểu đồ không đúng với thực tế doanh nghiệp.
Contextualization: Trong thiết kế HRP thực tế của nhóm, Admin chỉ quản lý tài khoản hệ thống, HR Manager mới là người xử lý nghiệp vụ Payroll và Attendance.
Creative Synthesis: Yêu cầu AI tách riêng portal cho Admin và HR, tự phân định lại các include/extend cho luồng duyệt phép (Leave Request).
Decision Ownership: Quyết định tách thành 3 diagram riêng biệt cho từng Actor để đảm bảo tính rõ ràng (readability) cho tài liệu SRS.</t>
  </si>
  <si>
    <t>Screenshot comparison of AI's 1 merged graph vs my 3 separated graphs.</t>
  </si>
  <si>
    <t>Cần thiết kế Database schema để lưu trữ dữ liệu chấm công (Attendance) và tính lương (Payroll) có quan hệ mật thiết với nhau bằng SQL.</t>
  </si>
  <si>
    <t>"Design the database schema for the Attendance and Payroll calculation in SQL for the HRP project."</t>
  </si>
  <si>
    <t>AI suggested adding daily working hours and overtime directly into a single Payroll table for simpler calculation.</t>
  </si>
  <si>
    <t>Critical Thinking: Lưu thẳng vào Payroll table sẽ không thể theo dõi lịch sử chi tiết check-in/check-out từng ngày của nhân viên.
Contextualization: Yêu cầu nghiệp vụ của dự án yêu cầu phải xuất báo cáo chấm công chi tiết, không chỉ là con số tổng.
Creative Synthesis: Tách riêng bảng Attendance_Record (chứa check_in, check_out theo ngày) và bảng Payroll (tổng hợp hàng tháng, quan hệ 1-N).
Decision Ownership: Chọn phương án chuẩn hóa (Normalization) tách bảng để tránh mất mát dữ liệu và đảm bảo tính mở rộng.</t>
  </si>
  <si>
    <t>Screenshot ERD comparison: AI's merged table vs my separated Attendance and Payroll tables.</t>
  </si>
  <si>
    <t>Tìm giải pháp và luồng xử lý (logic) an toàn cho chức năng duyệt đơn xin nghỉ phép (Leave Request) giữa Employee và HR bằng Java Servlet.</t>
  </si>
  <si>
    <t>"Write the logic and SQL queries for submitting and approving a leave request in Java Servlet."</t>
  </si>
  <si>
    <t>AI provided generic update code where anyone who hits the specific approval URL with a Request ID could approve the leave request.</t>
  </si>
  <si>
    <t>Critical Thinking: Phát hiện lỗ hổng bảo mật nghiêm trọng (Missing Access Control) trong code do AI sinh ra.
Contextualization: Hệ thống HRP yêu cầu phân quyền chặt chẽ (Role-based access control) thông qua Session.
Creative Synthesis: Bổ sung logic check role_id từ Session vào Servlet trước khi thực thi lệnh UPDATE status trong SQL.
Decision Ownership: Áp dụng Session verification chặn các truy cập trái phép thay vì dùng generic query của AI.</t>
  </si>
  <si>
    <t>Screenshot of AI's vulnerable code vs my secured Java Servlet code using Session check.</t>
  </si>
  <si>
    <t>Tìm thư viện Java phù hợp để mã hóa mật khẩu nhân viên khi khởi tạo tài khoản mới (lưu vào Database).</t>
  </si>
  <si>
    <t>"Suggest a simple Java library to hash employee passwords before saving to the database for the HRP system."</t>
  </si>
  <si>
    <t>AI suggested using the MD5 hashing algorithm and provided a basic implementation using java.security.MessageDigest.</t>
  </si>
  <si>
    <t>Critical Thinking: Phát hiện MD5 đã lỗi thời, dễ bị bẻ khóa bằng Rainbow Tables và không còn an toàn.
Contextualization: Môn học SWP391 yêu cầu bảo mật cơ bản, đặc biệt là dữ liệu nhạy cảm của nhân sự.
Creative Synthesis: Bỏ qua MD5, tự research và tích hợp thư viện jbcrypt (BCrypt) có hỗ trợ tạo salt ngẫu nhiên tự động.
Decision Ownership: Quyết định sử dụng tiêu chuẩn công nghiệp (BCrypt) để bảo vệ dữ liệu thay vì giải pháp kém an toàn AI gợi ý.</t>
  </si>
  <si>
    <t>Screenshot of AI suggesting MD5 vs my actual implementation using BCrypt dependency.</t>
  </si>
  <si>
    <t>Cần phân rã các module chức năng (Employee, Attendance, Payroll) cho các actor (Nhân viên, HR, Admin) sao cho tài liệu SRS dễ đọc.</t>
  </si>
  <si>
    <t>"Draw a full Use Case diagram covering Employee, Attendance, and Payroll modules for 3 actors: Employee, HR Manager, and Admin using Mermaid code."</t>
  </si>
  <si>
    <t>AI vẽ tất cả vào chung một biểu đồ duy nhất, khiến các luồng include/extend đan chéo nhau, rất rối mắt và khó phân biệt quyền hạn.</t>
  </si>
  <si>
    <t>Critical Thinking: Biểu đồ monolithic (nguyên khối) quá phức tạp, không thể hiện rõ ranh giới nghiệp vụ.
Contextualization: Thiết kế hệ thống thực tế cần phân định rõ ràng quyền Admin (quản trị hệ thống) và HR Manager (nghiệp vụ nhân sự).
Creative Synthesis: Từ chối kết quả của AI. Yêu cầu AI tách riêng portal cho Admin và HR, tự điều chỉnh lại syntax Mermaid cho luồng duyệt phép.
Decision Ownership: Áp dụng chiến lược chia để trị (Divide &amp; Conquer), sử dụng 3 biểu đồ riêng biệt giúp tài liệu dự án trực quan hơn.</t>
  </si>
  <si>
    <t>Screenshot 1 biểu đồ rối rắm của AI VS 3 biểu đồ đã được tách gọn gàng trong tài liệu.</t>
  </si>
  <si>
    <t>Xây dựng logic Java Servlet để giao một công việc (Task) cho nhân viên trong dự án, đảm bảo nhân viên không bị quá tải.</t>
  </si>
  <si>
    <t>"Write a Java Servlet method to assign a new task to an employee and insert it into the SQL database."</t>
  </si>
  <si>
    <t>AI viết một hàm chỉ đơn thuần nhận tham số employee_id và task_id rồi thực thi lệnh INSERT INTO Tasks một cách máy móc, không hề có bước kiểm tra ràng buộc nào.</t>
  </si>
  <si>
    <t>Critical Thinking: Thiếu hoàn toàn Business Logic (logic nghiệp vụ). Giao việc mà không kiểm tra sẽ dẫn đến tình trạng một nhân viên ôm quá nhiều việc cùng lúc.
Contextualization: Trong thực tế dự án HRS, hệ thống cần cảnh báo hoặc chặn nếu một người đang có quá nhiều task ở trạng thái "In Progress".
Creative Synthesis: Mình đã tự code thêm một bước truy vấn SQL COUNT(task_id) WHERE status = 'In Progress' trước khi INSERT. Nếu số lượng &gt; 3, trả về lỗi báo quá tải.
Decision Ownership: Quyết định thêm validation này để hệ thống thực tế và thông minh hơn, đúng với tiêu chuẩn của một phần mềm quản lý dự án thật.</t>
  </si>
  <si>
    <t>creenshot code AI (chỉ có Insert) VS code Servlet của mình (có khối IF-ELSE kiểm tra số lượng task đang làm).</t>
  </si>
  <si>
    <t>Cần viết câu truy vấn SQL để tính toán % hoàn thành của toàn bộ một dự án dựa trên các task con bên trong để hiển thị lên JSP.</t>
  </si>
  <si>
    <t>"Write an SQL query to calculate the completion percentage of a project based on its tasks."</t>
  </si>
  <si>
    <t>AI đề xuất đếm tổng số task đã "Done" chia cho tổng số task của dự án (Ví dụ: 3 task xong / 5 tổng task = 60%).</t>
  </si>
  <si>
    <t>Critical Thinking: Cách tính trung bình cộng này bị sai lệch thực tế, vì mỗi task có độ khó và thời gian thực hiện (Estimated Hours) khác nhau.
Contextualization: Một task mất 10 giờ không thể có trọng số bằng một task mất 1 giờ. Cần tính toán dựa trên effort (thời gian) thay vì số lượng.
Creative Synthesis: Thay đổi hoàn toàn công thức SQL của AI. Chuyển sang dùng hàm SUM(estimated_hours) của các task "Done" chia cho SUM(estimated_hours) của toàn bộ task.
Decision Ownership: Chọn công thức tính theo trọng số thời gian (Weighted calculation) để phản ánh chính xác nhất tiến độ thực tế của dự án.</t>
  </si>
  <si>
    <t>Screenshot SQL Query tính theo Count của AI VS SQL Query tính theo SUM(Hours) của nhóm.</t>
  </si>
  <si>
    <t>Algorithms / Database</t>
  </si>
  <si>
    <t>Cần xử lý trường hợp nhiều sinh viên cùng nộp bài (submit assignment) tại một thời điểm, tránh lỗi ghi đè dữ liệu.</t>
  </si>
  <si>
    <t>"Write a Java Servlet code to handle assignment submissions from multiple students concurrently, ensuring data consistency in SQL Server."</t>
  </si>
  <si>
    <t>AI provided a standard doPost method using a basic JDBC executeUpdate() without any transaction management.</t>
  </si>
  <si>
    <t>Critical Thinking: Code của AI chạy được cho 1 user, nhưng sẽ gặp Race Condition nếu nhiều user nộp cùng lúc.
Contextualization: EduDesk có các mốc deadline, lượng request sẽ tăng đột biến (high traffic) ở những phút cuối.
Creative Synthesis: Tôi bổ sung logic Transaction Management (conn.setAutoCommit(false), conn.commit()) và xử lý lock trong câu SQL.
Decision Ownership: Quyết định dùng manual transaction management ở cấp độ JDBC để đảm bảo tính toàn vẹn dữ liệu (ACID).</t>
  </si>
  <si>
    <t>Screenshot of AI's basic JDBC code vs my code with Transaction Management blocks.</t>
  </si>
  <si>
    <t>UI/UX &amp; Data Flow</t>
  </si>
  <si>
    <t>Cần hiển thị danh sách hàng ngàn sinh viên và điểm số cho Admin, nhưng load toàn bộ dữ liệu 1 lần làm web bị đứng.</t>
  </si>
  <si>
    <t>"How to display a list of 10,000 students efficiently in a JSP page?"</t>
  </si>
  <si>
    <t>AI suggested using DataTables library (Client-side pagination), loading all 10,000 records into a JSON array and rendering it.</t>
  </si>
  <si>
    <t>Critical Thinking: Client-side pagination với 10k records sẽ tốn băng thông vô ích và có thể gây crash trình duyệt của Admin.
Contextualization: EduDesk cần tối ưu memory cho server và băng thông mạng.
Creative Synthesis: Bác bỏ phương án tải toàn bộ. Tôi tự implement Server-side Pagination bằng câu lệnh OFFSET... FETCH NEXT trong SQL và truyền tham số page qua Servlet.
Decision Ownership: Chọn Server-side Pagination để giảm payload size, giúp trang web load nhanh hơn và scale tốt hơn.</t>
  </si>
  <si>
    <t>Screenshot comparison of Network tab payload (Client-side vs Server-side chunking).</t>
  </si>
  <si>
    <t>VERIFICATION</t>
  </si>
  <si>
    <t>Security &amp; Validation</t>
  </si>
  <si>
    <t>Chức năng upload file bài tập của sinh viên ở module G3 cần được bảo mật, tránh upload file độc hại.</t>
  </si>
  <si>
    <t>"Write a file validation function in Java to only allow PDF and DOCX uploads for the EduDesk system."</t>
  </si>
  <si>
    <t>AI provided code that simply checks the file extension using string matching: filename.endsWith(".pdf").</t>
  </si>
  <si>
    <t>Critical Thinking: Check extension đơn thuần là một lỗ hổng bảo mật cổ điển (AI Oversimplification). Kẻ xấu có thể đổi đuôi file .exe thành .pdf để bypass.
Contextualization: Môi trường giáo dục rất dễ bị dính malware từ file nộp của sinh viên nếu hệ thống check lỏng lẻo
Creative Synthesis: Bỏ logic check chuỗi của AI. Tích hợp thư viện Apache Tika để detect MIME type thực tế dựa trên File Signature (Magic bytes).
Decision Ownership: Quyết định dùng File Signature checking thay vì extension checking để đảm bảo an toàn tuyệt đối cho server lưu trữ.</t>
  </si>
  <si>
    <t>Code snippet showing AI's extension check vs my Apache Tika implementation.</t>
  </si>
  <si>
    <t>Xây dựng logic API cho UC-48 (Create Task), cần đảm bảo tính toàn vẹn dữ liệu khi giao việc cho nhân sự trong dự án.</t>
  </si>
  <si>
    <t>Viết một Node.js backend function để tạo mới một task trong MongoDB (collection Task) dựa trên project_id và assignee_id được gửi lên từ client."</t>
  </si>
  <si>
    <t>AI viết một hàm Task.create() đơn giản, nhận params từ req.body và lưu thẳng assignee_id vào cơ sở dữ liệu mà không qua bất kỳ bước kiểm tra chéo nào.</t>
  </si>
  <si>
    <t>Critical Thinking: Tôi nhận thấy code của AI gây ra rủi ro Data Integrity (Toàn vẹn dữ liệu). Bất kỳ ai cũng có thể bị gán vào dự án thông qua API manipulation.
Contextualization: Theo tài liệu RDS, Business Rule BR-TASK-01 quy định cực kỳ rõ: "Một task chỉ được gán cho nhân viên là thành viên của dự án đó".
Creative Synthesis: Tôi đã bác bỏ cách làm hời hợt của AI. Tự bổ sung một khối lệnh truy vấn chéo: Tìm kiếm trong collection ProjectMember xem có tồn tại cặp {project_id, employee_id} hay không. Nếu không, ném ra lỗi 400 Bad Request.
Decision Ownership: Tôi quyết định đưa block validation này lên đầu hàm để chặn đứng các request không hợp lệ trước khi Database bị mutate.</t>
  </si>
  <si>
    <t>Ảnh chụp màn hình đoạn code validation ProjectMember trong file task.controller.js.</t>
  </si>
  <si>
    <t>Lựa chọn giải pháp kiến trúc đồng bộ dữ liệu từ máy chấm công vân tay (Fingerprint Sync Service) về server HRS.</t>
  </si>
  <si>
    <t>Tôi nên thiết kế API như thế nào để đồng bộ dữ liệu check-in/check-out từ máy quét vân tay phần cứng lên server HRMS?"</t>
  </si>
  <si>
    <t>AI đề xuất viết một RESTful API endpoint (POST /attendance) và cấu hình máy vân tay gọi API này ngay lập tức (real-time) mỗi khi có một nhân viên quét thành công.</t>
  </si>
  <si>
    <t>Critical Thinking: Tôi đánh giá giải pháp của AI là phi thực tế và có nguy cơ DDoS hệ thống. Vào giờ cao điểm (8h00 sáng), hàng trăm nhân viên quét vân tay cùng lúc sẽ tạo ra quá nhiều HTTP request nhỏ lẻ.
Contextualization: Trong môi trường doanh nghiệp của hệ thống HRS, độ trễ 1-2 phút của dữ liệu chấm công là hoàn toàn chấp nhận được, ưu tiên sự ổn định của server.
Creative Synthesis: Tôi loại bỏ cách làm real-time của AI và thiết kế lại theo cơ chế Batch Processing (Xử lý hàng loạt). Máy vân tay sẽ gom dữ liệu và gửi 1 mảng (array) các record mỗi 5 phút/lần, hoặc server sẽ chạy Cron Job gọi API của máy để kéo (pull) dữ liệu về.
Decision Ownership: Quyết định chọn kiến trúc Pull-based kết hợp Cron Job để server HRS chủ động kiểm soát tải (load balancer).</t>
  </si>
  <si>
    <t>Sơ đồ luồng hoạt động (Sequence Diagram) của Fingerprint Sync Service.</t>
  </si>
  <si>
    <t>Database Interaction</t>
  </si>
  <si>
    <t>Cần viết API xử lý việc "Deactivate Employee" (UC-06) trong Backend.</t>
  </si>
  <si>
    <t>"Write a Node.js API with MongoDB query to deactivate an employee account when HR clicks the deactivate button."</t>
  </si>
  <si>
    <t>AI provided an Express route using db.employees.deleteOne({ _id: employeeId }) to completely remove the record from the database.</t>
  </si>
  <si>
    <t>Critical Thinking: Phát hiện lỗi Context Misunderstanding. Dùng deleteOne là hard delete, gây mất toàn bộ dữ liệu lịch sử chấm công và lương.
Contextualization: Business Rule BR-UC06-01 (Soft Delete Only) bắt buộc giữ lại data, chỉ đổi status sang Inactive.
Creative Synthesis: Tôi bác bỏ code của AI, đổi thành findByIdAndUpdate để set status: 'Inactive' và ghi nhận timestamp vào trường end_date.
Decision Ownership: Quyết định dùng Soft Delete để bảo toàn tính toàn vẹn của dữ liệu tham chiếu (attendance, payroll) trong tương lai.</t>
  </si>
  <si>
    <t>Screenshot AI's deleteOne code vs my findByIdAndUpdate code.</t>
  </si>
  <si>
    <t>Reporting / Payroll</t>
  </si>
  <si>
    <t>Cần xuất báo cáo tổng hợp lương (Payroll Report) ra file PDF cho HR Manager (UC-23).</t>
  </si>
  <si>
    <t>"How to export the generated payroll data from MongoDB directly to a PDF file in Node.js?"</t>
  </si>
  <si>
    <t>AI suggested using a built-in MongoDB function: db.payroll.exportToPDF({ path: '/report.pdf' }).</t>
  </si>
  <si>
    <t>Critical Thinking: Phát hiện lỗi Fabrication. Hàm exportToPDF này hoàn toàn bịa đặt, không tồn tại trong MongoDB driver.
Contextualization: Hệ thống cần xuất PDF chuẩn form báo cáo. Database chỉ có nhiệm vụ lưu trữ, không làm rendering.
Creative Synthesis: Tôi tự research document, query JSON data từ DB, sau đó tích hợp thư viện PDFKit ở tầng backend để tự vẽ layout PDF.
Decision Ownership: Chọn cách tách biệt logic: DB trả data thô, Backend gen PDF để linh hoạt thay đổi template báo cáo sau này.</t>
  </si>
  <si>
    <t>Screenshot of Google search "MongoDB exportToPDF" (Not found) and my PDFKit code.</t>
  </si>
  <si>
    <t>Logic Design / Attendance</t>
  </si>
  <si>
    <t>Xử lý logic duyệt đơn xin nghỉ phép (Leave Application - UC-22).</t>
  </si>
  <si>
    <t>"Write a function to approve a leave application form in the HRMS system."</t>
  </si>
  <si>
    <t>AI viết một hàm cập nhật status đơn thành 'Approved' ngay lập tức khi nhận request xử lý.</t>
  </si>
  <si>
    <t>Critical Thinking: Phát hiện lỗi Oversimplification. AI đã bỏ qua bước kiểm duyệt của quản lý trực tiếp.
Contextualization: Theo BR-ATT-02 (Approval Hierarchy), đơn phải qua Team Leader duyệt trước khi đến tay HR Manager.
Creative Synthesis: Tôi code thêm logic kiểm tra. Nếu nhân viên có team_leader_id, route request đến Team Leader trước; nếu không có, mới đẩy lên HR Manager.
Decision Ownership: Bắt buộc tuân thủ luồng duyệt Approval Hierarchy để đúng với cấu trúc tổ chức và phân quyền của Business Logic.</t>
  </si>
  <si>
    <t>Flowchart diagram comparison (AI's 1-step vs my 2-step hierarchical approval process).</t>
  </si>
  <si>
    <t>Security / Authentication</t>
  </si>
  <si>
    <t>Cần mã hóa password khi HR Manager tạo mới tài khoản nhân viên (UC-04).</t>
  </si>
  <si>
    <t>"Write a utility function in Node.js to hash employee passwords before saving to the database."</t>
  </si>
  <si>
    <t>AI generated a utility function using the built-in Node.js crypto module with the MD5 hashing algorithm.</t>
  </si>
  <si>
    <t>Critical Thinking: Phát hiện lỗi Outdated Info. MD5 đã lỗi thời, dễ bị crack và cực kỳ không an toàn cho hệ thống quản trị nhân sự.
Contextualization: System Security specification FR1 bắt buộc encode mật khẩu bằng thuật toán BCrypt.
Creative Synthesis: Bỏ qua thư viện crypto cơ bản, tôi import thư viện bcryptjs, sinh salt và băm mật khẩu theo đúng chuẩn bảo mật.
Decision Ownership: Quyết định dùng BCrypt để chống lại các cuộc tấn công Brute-force/Rainbow table, bảo mật tuyệt đối thông tin đăng nhập của nhân viên.</t>
  </si>
  <si>
    <t>Code diff showing removal of crypto.createHash('md5') and insertion of bcrypt.hash().</t>
  </si>
  <si>
    <t>Security / Algorithms</t>
  </si>
  <si>
    <t>Xử lý logic khóa tài khoản khi đăng nhập sai nhiều lần theo rule FR3</t>
  </si>
  <si>
    <t>"Write a Node.js login API that locks the user's account for 30 minutes if they enter the wrong password 6 consecutive times."</t>
  </si>
  <si>
    <t>AI suggested using a global in-memory JavaScript variable (like a Map or Dictionary) to count failed attempts for each username.</t>
  </si>
  <si>
    <t>Critical Thinking: Biến global (in-memory) sẽ bị reset khi server restart và không đồng bộ được nếu hệ thống chạy nhiều instance (Load Balancing).Contextualization: HRS là hệ thống doanh nghiệp yêu cầu bảo mật cao, rule FR3 (khóa 30 phút sau 6 lần sai) phải hoạt động chính xác tuyệt đối.  Creative Synthesis: Bác bỏ cách lưu in-memory của AI. Tôi thiết kế lưu thêm field failedLoginCount (int) và lockedUntil (datetime) trực tiếp vào collection User trong database.  Decision Ownership: Dùng Database-based tracking để đảm bảo rule khóa tài khoản luôn đúng bất chấp trạng thái của server web.</t>
  </si>
  <si>
    <t>Screenshot of AI's let failedAttempts = {} vs my MongoDB lockedUntil update logic.</t>
  </si>
  <si>
    <t>Validation / Logic</t>
  </si>
  <si>
    <t>Xử lý logic gán task (Assign Task) cho nhân viên trong module Task Management (UC-48).</t>
  </si>
  <si>
    <t>"Write an API endpoint to create a new task and assign it to an employee_id within a specific project."</t>
  </si>
  <si>
    <t>AI provided a standard INSERT query saving the project_id, task_name, and assignee_id directly into the Task table.</t>
  </si>
  <si>
    <t>Critical Thinking: Lỗi Oversimplification. AI chỉ insert data mà quên bối cảnh phải kiểm tra xem người đó có thuộc dự án hay không.Contextualization: Theo Business Rule BR-TASK-01, task chỉ được gán cho nhân viên đang là thành viên (member) của dự án đó.  Creative Synthesis: Tôi bổ sung thêm một bước validation chặn đứng (middleware): Query bảng ProjectMember để check sự tồn tại của cặp (project_id, assignee_id) trước khi cho phép lưu Task.  Decision Ownership: Thêm database validation ở tầng Service để chặn đứng các request giả mạo gán task cho người ngoài dự án.</t>
  </si>
  <si>
    <t>Code snippet showing the added checkProjectMemberExists() validation step before task creation.</t>
  </si>
  <si>
    <t>Architecture / Integrations</t>
  </si>
  <si>
    <t>Thiết kế cơ chế đồng bộ dữ liệu từ máy chấm công vân tay (Fingerprint Sync Service) vào Database.</t>
  </si>
  <si>
    <t>"How to synchronize fingerprint attendance data from a physical hardware device to our web application database?"</t>
  </si>
  <si>
    <t>AI suggested making the web backend continuously poll (gọi API liên tục) the fingerprint device's local IP address every 5 seconds.</t>
  </si>
  <si>
    <t>Critical Thinking: Cơ chế Polling liên tục sẽ tạo ra bottleneck, làm nghẽn tài nguyên server và dễ mất dữ liệu nếu mạng nội bộ chập chờn.Contextualization: Fingerprint Sync Service là một background service chạy ngầm, cần mô hình chịu lỗi (fault-tolerant) cao.  Creative Synthesis: Thay vì Polling, tôi thiết kế mô hình Event-Driven: Cài một mini-agent ở mạng nội bộ, khi có vân tay mới, nó sẽ tự động đẩy (Push/Webhook) data lên API của HRS backend.Decision Ownership: Chọn mô hình Webhook (Push) để hệ thống HRS chỉ thụ động nhận data, giảm tải server và đảm bảo luồng điểm danh không bị delay.Architectural diagram comparison: AI's Polling mechanism vs my Event-Driven (Webhook) mechanism.</t>
  </si>
  <si>
    <t>Architectural diagram comparison: AI's Polling mechanism vs my Event-Driven (Webhook) mechanism.</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</si>
  <si>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</si>
  <si>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</si>
  <si>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</si>
  <si>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</si>
  <si>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</si>
  <si>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</si>
  <si>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</si>
  <si>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</si>
  <si>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 / Logic Error</t>
  </si>
  <si>
    <t>AI claimed that "Plagiarism Check" is an optional auxiliary function and should use the &lt;&lt;extend&gt;&gt; relationship pointing to "Submit Assignment".</t>
  </si>
  <si>
    <t>In EduDesk's business rules, the plagiarism check is 100% mandatory for every submission, not an optional extension.</t>
  </si>
  <si>
    <t>Reviewed the SWP391 project requirements and business logic, recognizing that a mandatory process requires an &lt;&lt;include&gt;&gt; relationship.</t>
  </si>
  <si>
    <t>Discarded AI's logic and manually changed the Mermaid syntax to use an &lt;&lt;include&gt;&gt; relationship pointing from "Submit Assignment" to "Plagiarism Check".</t>
  </si>
  <si>
    <t>AI claimed "Plagiarism Check" is an optional auxiliary function and should use &lt;&lt;extend&gt;&gt;.</t>
  </si>
  <si>
    <t>In EduDesk's business rules, the check is 100% mandatory for every submission.</t>
  </si>
  <si>
    <t>Reviewed SWP391 project requirements and business logic.</t>
  </si>
  <si>
    <t>Discarded AI's logic and manually changed Mermaid syntax to &lt;&lt;include&gt;&gt;.</t>
  </si>
  <si>
    <t>Fabrication</t>
  </si>
  <si>
    <t>AI suggested using a library called "Apache DocuParse API" to extract text from files.</t>
  </si>
  <si>
    <t>"Apache DocuParse API" does NOT exist. The sample code provided was completely hallucinated.</t>
  </si>
  <si>
    <t>Searched for the library name and API docs on Google and Maven Repository (Not Found).</t>
  </si>
  <si>
    <t>Ignored AI's suggestion and manually integrated two verified libraries: Apache PDFBox and Apache POI.</t>
  </si>
  <si>
    <t>AI cho rằng tài khoản "Admin" có quyền xử lý lương (Payroll) và duyệt phép (Attendance), gộp chung Use Case của Admin và HR Manager trên cùng một biểu đồ.</t>
  </si>
  <si>
    <t>Theo nghiệp vụ thực tế của dự án HRP, "Admin" chỉ quản lý tài khoản hệ thống (User Management), còn "HR Manager" mới là người có chuyên môn và thẩm quyền xử lý các nghiệp vụ nhân sự (chấm công, tính lương).</t>
  </si>
  <si>
    <t>Đối chiếu biểu đồ AI vẽ với tài liệu đặc tả yêu cầu (SRS) của dự án và nguyên tắc phân quyền (Role-Based Access Control) trong thiết kế hệ thống.</t>
  </si>
  <si>
    <t>Bỏ qua biểu đồ gộp của AI. Tự vẽ lại và tách biệt rõ ràng luồng Use Case của Admin (System) và HR Manager (Business Logic) thành 2 portal khác nhau.</t>
  </si>
  <si>
    <t>Logic Error / Database Design Flaw</t>
  </si>
  <si>
    <t>AI đề xuất lưu trực tiếp số giờ làm việc mỗi ngày vào chung một bảng Payroll (Bảng tính lương) để dễ tính toán bằng SQL.</t>
  </si>
  <si>
    <t>Bảng Payroll chỉ lưu kết quả tổng hợp của cả tháng. Nếu lưu log làm việc hàng ngày vào chung một bảng sẽ vi phạm dạng chuẩn (Normalization) trong thiết kế Database, gây trùng lặp và không thể mở rộng.</t>
  </si>
  <si>
    <t>Áp dụng kiến thức chuẩn hóa Database (1NF, 2NF, 3NF), nhận thấy thiết kế của AI không thể lưu trữ lịch sử check-in/check-out chi tiết của từng ngày.</t>
  </si>
  <si>
    <t>Không dùng schema của AI. Tự thiết kế tách ra thành 2 bảng riêng biệt: Attendance_Record (log hàng ngày) và Payroll (chốt lương hàng tháng) với quan hệ 1-N.</t>
  </si>
  <si>
    <t>Outdated Practice / Security Flaw</t>
  </si>
  <si>
    <t>AI khuyên dùng thuật toán MD5 có sẵn trong java.security.MessageDigest để mã hóa mật khẩu nhân viên lưu vào Database và cho rằng đây là cách bảo mật tiêu chuẩn.</t>
  </si>
  <si>
    <t>Thuật toán MD5 đã lỗi thời, không an toàn và rất dễ bị bẻ khóa (crack) bằng phương pháp Rainbow Tables. Nó không còn là tiêu chuẩn công nghiệp cho việc lưu trữ mật khẩu.</t>
  </si>
  <si>
    <t>Tra cứu tài liệu về bảo mật Web Java (OWASP Guidelines) và nhận thấy MD5 đã bị đánh dấu là "deprecated" (không khuyến khích dùng) cho password.</t>
  </si>
  <si>
    <t>Từ chối đoạn code MD5 của AI. Tự research và thêm thư viện jbcrypt vào Maven để băm mật khẩu bằng thuật toán BCrypt (có hỗ trợ tự động sinh salt).</t>
  </si>
  <si>
    <t>AI khẳng định rằng có một thư viện Java tên là "Apache DocuParse API" dùng để trích xuất text từ file PDF/DOCX và thậm chí tự viết ra code mẫu rất thuyết phục để sử dụng thư viện này.</t>
  </si>
  <si>
    <t>Thư viện "Apache DocuParse API" hoàn toàn không tồn tại trên thực tế. Code mẫu AI cung cấp là code ảo, không thể compile hay chạy được.</t>
  </si>
  <si>
    <t>Tìm kiếm tên thư viện và API docs trên Google và kho lưu trữ Maven Repository nhưng không trả về bất kỳ kết quả (Not Found).</t>
  </si>
  <si>
    <t>Bỏ qua hoàn toàn gợi ý của AI. Tự tìm kiếm và tích hợp 2 thư viện chuẩn có thật là Apache PDFBox và Apache POI vào file pom.xml.</t>
  </si>
  <si>
    <t>AI khuyên dùng thuật toán MD5 có sẵn trong thư viện java.security.MessageDigest để mã hóa mật khẩu nhân viên và cho rằng đây là cách bảo mật cơ bản.</t>
  </si>
  <si>
    <t>Thuật toán MD5 đã quá lỗi thời, không còn an toàn và cực kỳ dễ bị hacker bẻ khóa (crack) bằng phương pháp dò bảng băm (Rainbow Tables). MD5 không được phép dùng cho mật khẩu.</t>
  </si>
  <si>
    <t>Áp dụng kiến thức học phần bảo mật web và tra cứu tiêu chuẩn OWASP Guidelines, nhận thấy MD5 đã bị đánh dấu "deprecated" cho việc lưu mật khẩu.</t>
  </si>
  <si>
    <t>Từ chối code của AI. Tự research và thêm thư viện jbcrypt vào project để sử dụng thuật toán băm BCrypt (an toàn hơn và có tự động sinh chuỗi salt ngẫu nhiên).</t>
  </si>
  <si>
    <t>Missing Access Control / Logic Error</t>
  </si>
  <si>
    <t>AI sinh ra đoạn code Servlet dùng query SQL UPDATE để duyệt đơn nghỉ phép chỉ dựa vào việc nhận được tham số request_id từ URL, không cần biết ai là người gọi URL đó.</t>
  </si>
  <si>
    <t>Theo nghiệp vụ dự án HRS, chỉ tài khoản có Role là HR Manager hoặc Admin mới có quyền duyệt đơn. Code của AI tạo ra lỗ hổng Insecure Direct Object References (IDOR).</t>
  </si>
  <si>
    <t>Review code luồng chạy của Java Servlet do AI sinh ra và nhận thấy thiếu hoàn toàn bước kiểm tra Session của người dùng hiện tại (Current User Session).</t>
  </si>
  <si>
    <t>Không dùng code gốc. Tự bổ sung thêm logic kiểm tra role_id từ Session. Nếu role_id không hợp lệ, trả về lỗi 403 Forbidden thay vì chạy câu lệnh UPDATE.</t>
  </si>
  <si>
    <t>Context Misunderstanding</t>
  </si>
  <si>
    <t>AI wrote a db.employees.deleteOne({_id: id}) query to handle the "Deactivate Employee" (UC-06) feature.</t>
  </si>
  <si>
    <t>Business Rule BR-UC06-01 (Soft Delete Only) explicitly states that employee records must never be hard-deleted.</t>
  </si>
  <si>
    <t>Cross-checked the AI's generated MongoDB query against the specific Business Rules in the SRS document.</t>
  </si>
  <si>
    <t>Discarded deleteOne. Changed the query to findByIdAndUpdate to set status: 'Inactive' and record the end_date</t>
  </si>
  <si>
    <t>AI suggested using a built-in MongoDB function called db.collection.exportToPDF() to generate the Payroll Report (UC-23).</t>
  </si>
  <si>
    <t>MongoDB has no native exportToPDF() function. The AI entirely fabricated this API.</t>
  </si>
  <si>
    <t>Searched the official MongoDB documentation for the method and found no results.</t>
  </si>
  <si>
    <t>Ignored the fake function. Wrote a backend service to fetch JSON data and format it using a real backend library (e.g., PDFKit/Puppeteer).</t>
  </si>
  <si>
    <t>Oversimplification</t>
  </si>
  <si>
    <t>AI's code for "Moderate Application Form" (UC-22) allowed HR Managers to instantly approve any leave request with a single button click.</t>
  </si>
  <si>
    <t>Business Rule BR-ATT-02 (Approval Hierarchy) dictates that application forms must be reviewed by the Team Leader first.</t>
  </si>
  <si>
    <t>Reviewed the Attendance Management use cases and noticed the missing role-based routing logic.</t>
  </si>
  <si>
    <t>Added intermediate logic to check if the employee has a Team Leader, ensuring the request is routed to the Team Leader before reaching HR.</t>
  </si>
  <si>
    <t>Outdated Info / Logic Error</t>
  </si>
  <si>
    <t>AI provided a password hashing snippet using the MD5 algorithm for the "Login / Create Employee" use cases.</t>
  </si>
  <si>
    <t>Business Rule FR1 (Password Encoding) strictly requires user passwords to be encoded with BCrypt hashing. MD5 is deprecated and insecure.</t>
  </si>
  <si>
    <t>Recognized the MD5 utility in the generated code and verified it against the System Security specifications (FR1).</t>
  </si>
  <si>
    <t>Replaced the MD5 implementation with a secure BCrypt hashing library (e.g., bcryptjs or BCryptPasswordEncoder).</t>
  </si>
  <si>
    <t>Missing Constraint / Context Ignorance</t>
  </si>
  <si>
    <t>AI mặc định rằng các params (assignee_id, project_id) mà client gửi lên API là luôn đúng đắn và an toàn để lưu trực tiếp vào collection Task bằng lệnh insert cơ bản.</t>
  </si>
  <si>
    <t>Hệ thống HRS quy định rất chặt chẽ tại BR-TASK-01. Một user dù có tồn tại trong bảng User nhưng nếu chưa được add vào bảng ProjectMember của dự án đó thì tuyệt đối không được phép nhận Task. Việc AI bỏ qua logic này sẽ làm sập hệ thống phân quyền dự án.</t>
  </si>
  <si>
    <t>Trong quá trình review (Code Review) lại function do AI sinh ra, tôi đối chiếu với danh sách Business Rules của module Task Management trong file thiết kế RDS.</t>
  </si>
  <si>
    <t>Tôi đã refactor (viết lại) hoàn toàn hàm do AI cung cấp. Chèn thêm một lệnh db.projectmembers.findOne({ projectId: ..., employeeId: ... }) để xác thực, nếu null thì lập tức return res.status(403).json({ message: 'User is not a member of this project' }).</t>
  </si>
  <si>
    <t>Logic Error / Security Flaw</t>
  </si>
  <si>
    <t>AI claimed that sending the user's plaintext password in the API payload is a valid way to authorize the Internal Agent.</t>
  </si>
  <si>
    <t xml:space="preserve">Passing plaintext passwords per request violates standard API security practices and the system's FR1 Password Encoding rule.  </t>
  </si>
  <si>
    <t>Reviewed security standards and the SRS document, realizing AI's approach would expose user credentials.</t>
  </si>
  <si>
    <t>Discarded AI's suggestion. Implemented a secure validation process using JWT extracted directly from the HTTP Authorization Header.</t>
  </si>
  <si>
    <t>AI wrote a deleteOne() MongoDB query to completely remove the record for the "Deactivate Employee" feature (UC-06).</t>
  </si>
  <si>
    <t>Business Rule BR-UC06-01 (Soft Delete Only) explicitly states that employee records must never be hard-deleted</t>
  </si>
  <si>
    <t>Discarded deleteOne. Changed the query to findByIdAndUpdate to set status: 'Inactive' and record the end_date.</t>
  </si>
  <si>
    <t>AI suggested using a built-in MongoDB function called db.payroll.exportToPDF() to generate the Payroll Report (UC-23).</t>
  </si>
  <si>
    <t>MongoDB has no native exportToPDF() function. The AI entirely fabricated this API method.</t>
  </si>
  <si>
    <t>Ignored the fake function. Wrote a backend service to fetch JSON data and format it using the PDFKit library.</t>
  </si>
  <si>
    <t>AI's code for "Moderate Application Form" (UC-22) allowed HR Managers to instantly approve any leave request directly.</t>
  </si>
  <si>
    <t>Added intermediate logic to check if the employee has a Team Leader, ensuring the request is routed correctly before reaching HR.</t>
  </si>
  <si>
    <t>AI suggested using a global in-memory variable (e.g., a JS Map) to track failed login attempts for account locking.</t>
  </si>
  <si>
    <t>In-memory variables are volatile, reset on server restart, and fail in load-balanced environments, breaking the FR3 security rule.</t>
  </si>
  <si>
    <t>Evaluated the system's production environment requirements (scalability and persistence) against AI's code.</t>
  </si>
  <si>
    <t>Rejected in-memory tracking. Implemented persistent tracking by adding failedLoginCount and lockedUntil fields directly in the database.</t>
  </si>
  <si>
    <t>AI provided a simple INSERT query to assign a task to an employee without checking project membership</t>
  </si>
  <si>
    <t>Business Rule BR-TASK-01 explicitly states that tasks can only be assigned to active members of that specific project.</t>
  </si>
  <si>
    <t>Reviewed the generated API logic against the Task Management business rules in the SRS.</t>
  </si>
  <si>
    <t>Added a validation query to check the ProjectMember collection before allowing the task creation.</t>
  </si>
  <si>
    <t>AI suggested a continuous polling mechanism (every 5 seconds) to fetch data from the physical fingerprint device.</t>
  </si>
  <si>
    <t>Polling continuously creates severe network bottlenecks, server overload, and is unsuitable for a stable background sync service.</t>
  </si>
  <si>
    <t>Analyzed the architectural impact and fault tolerance requirements of the Fingerprint Sync Service.</t>
  </si>
  <si>
    <t>Rejected polling and designed an Event-Driven (Webhook/Push) mechanism to reduce server load.</t>
  </si>
  <si>
    <t>HALLUCINATION TYPES REFERENCE:</t>
  </si>
  <si>
    <t>Type</t>
  </si>
  <si>
    <t>Definition</t>
  </si>
  <si>
    <t>Example</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</si>
  <si>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</si>
  <si>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</si>
  <si>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</si>
  <si>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</si>
  <si>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</si>
  <si>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</si>
  <si>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</si>
  <si>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</si>
  <si>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</si>
  <si>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</si>
  <si>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</si>
  <si>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</si>
  <si>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Logical Flaw &amp; Inconsistency</t>
  </si>
  <si>
    <t>AI đưa ra các khối mã mâu thuẫn trực tiếp với nhau, hoặc logic toán học bị sai lệch dù cú pháp dòng lệnh không hề báo lỗi (syntax ok nhưng logic sai).</t>
  </si>
  <si>
    <t>Viết code tính lương tự động (Auto Payroll) nhưng tính toán sai công thức, quên không trừ đi các ngày nghỉ không phép hoặc các khoản khấu trừ bảo hiểm.</t>
  </si>
  <si>
    <t>Scope Creep / Over-engineering</t>
  </si>
  <si>
    <t>AI tự động vẽ ra các thực thể, bảng dữ liệu hoặc tính năng nâng cao nằm hoàn toàn ngoài phạm vi yêu cầu được giao trong tài liệu thiết kế.</t>
  </si>
  <si>
    <t>Khi được yêu cầu thiết kế bảng dữ liệu Task, AI tự động vẽ thêm các bảng không có trong SRS như hệ thống tích hợp chat Slack, phân tích KPI nâng cao bằng AI.</t>
  </si>
  <si>
    <t>Library/Version Mismatch</t>
  </si>
  <si>
    <t>AI trộn lẫn cú pháp hoặc cách sử dụng của các phiên bản thư viện khác nhau (ví dụ trộn code MongoDB cũ với Mongoose mới), dẫn đến code không thể compile.</t>
  </si>
  <si>
    <t>Sinh code kết nối cơ sở dữ liệu sử dụng các hàm callback cũ từ phiên bản MongoDB v3.x, trong khi dự án hiện tại đang cấu hình chạy v6.x sử dụng hoàn toàn Async/Await.</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</si>
  <si>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</si>
  <si>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</si>
  <si>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</si>
  <si>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</si>
  <si>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</si>
  <si>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</si>
  <si>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</si>
  <si>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</si>
  <si>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</si>
  <si>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</si>
  <si>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Đã chọn lọc 23 core prompts tác động trực tiếp tới Architecture, DB Schema, Security &amp; Business Rules.</t>
  </si>
  <si>
    <t>2</t>
  </si>
  <si>
    <t>Nếu không có prompt này, project có thay đổi về architecture/design?</t>
  </si>
  <si>
    <t>Có ảnh hưởng rõ rệt (Tách DB, Soft delete, Server-side pagination, Webhook vs Polling, Session Security).</t>
  </si>
  <si>
    <t>3</t>
  </si>
  <si>
    <t>Tôi có thể giải thích lý do chọn/không chọn gợi ý của AI?</t>
  </si>
  <si>
    <t>Đã ghi chú rõ lý do phản biện (Critical Thinking &amp; Decision Ownership trong Human Delta).</t>
  </si>
  <si>
    <t>4</t>
  </si>
  <si>
    <t>Có minh chứng cụ thể (code, metrics, comparison)?</t>
  </si>
  <si>
    <t>100% entries đều đính kèm bằng chứng (Screenshot diagram, Code comparison, Google search).</t>
  </si>
  <si>
    <t>5</t>
  </si>
  <si>
    <t>Prompt này phản ánh tư duy phản biện, không chỉ copy AI?</t>
  </si>
  <si>
    <r>
      <t>Đã phát hiện và sửa chữa các lỗi ảo giác (Hallucination), Security Flaw (MD5, IDOR, deleteOne, Fake APIs)</t>
    </r>
    <r>
      <rPr>
        <sz val="10.5"/>
        <color rgb="FFCCCCCC"/>
        <rFont val="Calibri"/>
        <charset val="134"/>
        <scheme val="minor"/>
      </rPr>
      <t>.</t>
    </r>
  </si>
  <si>
    <t>B. KIỂM TRA TỔNG THỂ LOG</t>
  </si>
  <si>
    <t>Current Value</t>
  </si>
  <si>
    <t>Số lượng entries nằm trong range (min-max)?</t>
  </si>
  <si>
    <t>23 entries (Đạt chuẩn số lượng core prompts)</t>
  </si>
  <si>
    <t>Mỗi DTC component có ít nhất 1 core prompt?</t>
  </si>
  <si>
    <t>Đủ 4 component (Decomposition: 5, Pattern: 2, Abstraction: 7, Algorithms: 9)</t>
  </si>
  <si>
    <t>Đã phát hiện ≥ số lượng hallucination yêu cầu?</t>
  </si>
  <si>
    <t>21 cases (Vượt mốc tối thiểu Lab&gt;=1, Assignment&gt;=2, Project&gt;=3)</t>
  </si>
  <si>
    <t>Mỗi entry đều có Human Delta đầy đủ (4 câu hỏi)?</t>
  </si>
  <si>
    <t>100% (23/23 entries đầy đủ 4 câu hỏi)</t>
  </si>
  <si>
    <t>Có evidence cho ≥70% entries?</t>
  </si>
  <si>
    <t>100% (23/23 entries có minh chứng cụ thể)</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</si>
  <si>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</si>
  <si>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</si>
  <si>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</si>
  <si>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</si>
  <si>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</si>
  <si>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</si>
  <si>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</si>
  <si>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</si>
  <si>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 Có (Tách diagram thành 3 portal để tránh monolithic graph)</t>
  </si>
  <si>
    <t>☑ AI vẽ 1 diagram nguyên khối bị rối</t>
  </si>
  <si>
    <t>☑ Screenshot 1 combined vs 3 separated graphs</t>
  </si>
  <si>
    <r>
      <t>☑ Có (Dùng </t>
    </r>
    <r>
      <rPr>
        <sz val="10.8"/>
        <rFont val="Calibri"/>
        <charset val="134"/>
        <scheme val="minor"/>
      </rPr>
      <t>&lt;&lt;include&gt;&gt;</t>
    </r>
    <r>
      <rPr>
        <sz val="10.5"/>
        <rFont val="Calibri"/>
        <charset val="134"/>
        <scheme val="minor"/>
      </rPr>
      <t> vì plagiarism check là mandatory)</t>
    </r>
  </si>
  <si>
    <r>
      <t>☑ AI dùng </t>
    </r>
    <r>
      <rPr>
        <sz val="10.8"/>
        <rFont val="Calibri"/>
        <charset val="134"/>
        <scheme val="minor"/>
      </rPr>
      <t>&lt;&lt;extend&gt;&gt;</t>
    </r>
    <r>
      <rPr>
        <sz val="10.5"/>
        <rFont val="Calibri"/>
        <charset val="134"/>
        <scheme val="minor"/>
      </rPr>
      <t> như optional</t>
    </r>
  </si>
  <si>
    <t>☑ Screenshot code fix extend -&gt; include</t>
  </si>
  <si>
    <t>☑ Có (Tách bảng Plagiarism_Report 1-1 để lưu chi tiết match)</t>
  </si>
  <si>
    <t>☑ AI lưu 1 cột score vào Submission</t>
  </si>
  <si>
    <t>☑ Screenshot ERD 1 table vs 2 tables</t>
  </si>
  <si>
    <t>☑ Có (Dùng PDFBox + POI thật)</t>
  </si>
  <si>
    <t>☑ AI bịa thư viện Apache DocuParse API</t>
  </si>
  <si>
    <t>☑ Screenshot Google Not Found &amp; code PDFBox</t>
  </si>
  <si>
    <t>☑ Có (Tách riêng Admin portal và HR portal)</t>
  </si>
  <si>
    <t>☑ AI gộp chung Use Case Admin &amp; HR</t>
  </si>
  <si>
    <t>☑ Screenshot AI merged vs 3 separated graphs</t>
  </si>
  <si>
    <t>☑ Có (Tách bảng Attendance_Record và Payroll 1-N)</t>
  </si>
  <si>
    <t>☑ AI gộp log ngày vào Payroll</t>
  </si>
  <si>
    <t>☑ Screenshot ERD Attendance &amp; Payroll</t>
  </si>
  <si>
    <t>☑ Có (Check role_id từ Session để chặn IDOR)</t>
  </si>
  <si>
    <t>☑ AI cho UPDATE trực tiếp qua request_id</t>
  </si>
  <si>
    <t>☑ Screenshot AI vulnerable vs Secured code</t>
  </si>
  <si>
    <t>☑ Có (Dùng BCrypt có salt ngẫu nhiên)</t>
  </si>
  <si>
    <t>☑ AI gợi ý mã hóa MD5 đã lỗi thời</t>
  </si>
  <si>
    <t>☑ Screenshot MD5 vs BCrypt implementation</t>
  </si>
  <si>
    <t>☑ Có (Áp dụng Divide &amp; Conquer cho biểu đồ HRP)</t>
  </si>
  <si>
    <t>☑ AI vẽ 1 graph đan chéo phức tạp</t>
  </si>
  <si>
    <t>☑ Screenshot 1 graph rối rắm vs 3 graph gọn gàng</t>
  </si>
  <si>
    <t>☑ Có (Thêm validation COUNT In Progress &lt;= 3)</t>
  </si>
  <si>
    <t>☑ AI chỉ INSERT máy móc không check tải</t>
  </si>
  <si>
    <t>☑ Screenshot IF-ELSE check task count</t>
  </si>
  <si>
    <t>☑ Có (Tính % theo SUM(Hours) trọng số thời gian)</t>
  </si>
  <si>
    <t>☑ AI tính trung bình cộng theo COUNT</t>
  </si>
  <si>
    <t>☑ Screenshot SQL COUNT vs SUM(Hours)</t>
  </si>
  <si>
    <t>☑ Có (Dùng Transaction Management tránh Race Condition)</t>
  </si>
  <si>
    <t>☑ AI dùng executeUpdate() cơ bản</t>
  </si>
  <si>
    <t>☑ Screenshot basic JDBC vs Transaction block</t>
  </si>
  <si>
    <t>☑ Có (Dùng Server-side Pagination OFFSET...FETCH)</t>
  </si>
  <si>
    <t>☑ AI khuyên Client-side load 10k records</t>
  </si>
  <si>
    <t>☑ Screenshot Network payload comparison</t>
  </si>
  <si>
    <t>☑ Có (Dùng Apache Tika check Magic Bytes MIME type)</t>
  </si>
  <si>
    <t>☑ AI chỉ check string extension .pdf</t>
  </si>
  <si>
    <t>☑ Code snippet extension check vs Apache Tika</t>
  </si>
  <si>
    <t>☑ Có (Thiết kế Event-Driven Webhook / Batch Processing)</t>
  </si>
  <si>
    <t>☑ AI đề xuất gọi REST API real-time gây DDoS</t>
  </si>
  <si>
    <t>☑ Sequence Diagram Fingerprint Sync Service</t>
  </si>
  <si>
    <r>
      <t>☑ Có (Dùng Soft Delete </t>
    </r>
    <r>
      <rPr>
        <sz val="10.8"/>
        <rFont val="Calibri"/>
        <charset val="134"/>
        <scheme val="minor"/>
      </rPr>
      <t>status: Inactive</t>
    </r>
    <r>
      <rPr>
        <sz val="10.5"/>
        <rFont val="Calibri"/>
        <charset val="134"/>
        <scheme val="minor"/>
      </rPr>
      <t> giữ data)</t>
    </r>
  </si>
  <si>
    <r>
      <t>☑ AI dùng </t>
    </r>
    <r>
      <rPr>
        <sz val="10.8"/>
        <rFont val="Calibri"/>
        <charset val="134"/>
        <scheme val="minor"/>
      </rPr>
      <t>deleteOne()</t>
    </r>
    <r>
      <rPr>
        <sz val="10.5"/>
        <rFont val="Calibri"/>
        <charset val="134"/>
        <scheme val="minor"/>
      </rPr>
      <t> làm mất lịch sử</t>
    </r>
  </si>
  <si>
    <t>☑ Screenshot deleteOne vs findByIdAndUpdate</t>
  </si>
  <si>
    <t>☑ Có (Dùng backend PDFKit render PDF từ JSON)</t>
  </si>
  <si>
    <r>
      <t>☑ AI bịa ra hàm </t>
    </r>
    <r>
      <rPr>
        <sz val="10.8"/>
        <rFont val="Calibri"/>
        <charset val="134"/>
        <scheme val="minor"/>
      </rPr>
      <t>db.payroll.exportToPDF()</t>
    </r>
  </si>
  <si>
    <t>☑ Screenshot search fake function vs PDFKit</t>
  </si>
  <si>
    <t>☑ Có (Xây dựng Approval Hierarchy qua Team Leader)</t>
  </si>
  <si>
    <t>☑ AI cho HR duyệt trực tiếp 1 bước</t>
  </si>
  <si>
    <t>☑ Flowchart 1-step vs 2-step hierarchy</t>
  </si>
  <si>
    <t>☑ Có (Import bcryptjs băm mật khẩu theo FR1)</t>
  </si>
  <si>
    <t>☑ AI gợi ý dùng crypto MD5</t>
  </si>
  <si>
    <t>☑ Code diff crypto MD5 vs bcryptjs</t>
  </si>
  <si>
    <r>
      <t>☑ Có (Lưu </t>
    </r>
    <r>
      <rPr>
        <sz val="10.8"/>
        <rFont val="Calibri"/>
        <charset val="134"/>
        <scheme val="minor"/>
      </rPr>
      <t>failedLoginCount</t>
    </r>
    <r>
      <rPr>
        <sz val="10.5"/>
        <rFont val="Calibri"/>
        <charset val="134"/>
        <scheme val="minor"/>
      </rPr>
      <t> &amp; </t>
    </r>
    <r>
      <rPr>
        <sz val="10.8"/>
        <rFont val="Calibri"/>
        <charset val="134"/>
        <scheme val="minor"/>
      </rPr>
      <t>lockedUntil</t>
    </r>
    <r>
      <rPr>
        <sz val="10.5"/>
        <rFont val="Calibri"/>
        <charset val="134"/>
        <scheme val="minor"/>
      </rPr>
      <t> vào DB)</t>
    </r>
  </si>
  <si>
    <t>☑ AI lưu in-memory JS Map bị mất khi restart</t>
  </si>
  <si>
    <t>☑ Screenshot in-memory Map vs MongoDB update</t>
  </si>
  <si>
    <r>
      <t>☑ Có (Validate </t>
    </r>
    <r>
      <rPr>
        <sz val="10.8"/>
        <rFont val="Calibri"/>
        <charset val="134"/>
        <scheme val="minor"/>
      </rPr>
      <t>ProjectMember</t>
    </r>
    <r>
      <rPr>
        <sz val="10.5"/>
        <rFont val="Calibri"/>
        <charset val="134"/>
        <scheme val="minor"/>
      </rPr>
      <t> trước khi assign task)</t>
    </r>
  </si>
  <si>
    <r>
      <t>☑ AI INSERT thẳng </t>
    </r>
    <r>
      <rPr>
        <sz val="10.8"/>
        <rFont val="Calibri"/>
        <charset val="134"/>
        <scheme val="minor"/>
      </rPr>
      <t>assignee_id</t>
    </r>
    <r>
      <rPr>
        <sz val="10.5"/>
        <rFont val="Calibri"/>
        <charset val="134"/>
        <scheme val="minor"/>
      </rPr>
      <t> không check</t>
    </r>
  </si>
  <si>
    <t>☑ Code snippet checkProjectMemberExists()</t>
  </si>
  <si>
    <t>☑ Có (Thiết kế Push/Webhook chịu lỗi cho máy vân tay)</t>
  </si>
  <si>
    <t>☑ AI đề xuất Polling liên tục mỗi 5s</t>
  </si>
  <si>
    <t>☑ Diagram Polling mechanism vs Event-Driven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</si>
</sst>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8">
    <font>
      <sz val="11"/>
      <color theme="1"/>
      <name val="Calibri"/>
      <charset val="134"/>
      <scheme val="minor"/>
    </font>
    <font>
      <b/>
      <sz val="16"/>
      <color rgb="FF2E75B6"/>
      <name val="Calibri"/>
      <charset val="134"/>
    </font>
    <font>
      <i/>
      <sz val="10"/>
      <color rgb="FF666666"/>
      <name val="Calibri"/>
      <charset val="134"/>
    </font>
    <font>
      <b/>
      <sz val="14"/>
      <color rgb="FF2E75B6"/>
      <name val="Calibri"/>
      <charset val="134"/>
    </font>
    <font>
      <b/>
      <sz val="11"/>
      <color rgb="FFFFFFFF"/>
      <name val="Calibri"/>
      <charset val="134"/>
    </font>
    <font>
      <sz val="10"/>
      <name val="Calibri"/>
      <charset val="134"/>
    </font>
    <font>
      <sz val="10"/>
      <name val="Times New Roman"/>
      <charset val="134"/>
    </font>
    <font>
      <sz val="10.5"/>
      <name val="Calibri"/>
      <charset val="134"/>
      <scheme val="minor"/>
    </font>
    <font>
      <sz val="9.5"/>
      <name val="Calibri"/>
      <charset val="134"/>
      <scheme val="minor"/>
    </font>
    <font>
      <b/>
      <sz val="12"/>
      <color rgb="FFFF0000"/>
      <name val="Calibri"/>
      <charset val="134"/>
    </font>
    <font>
      <sz val="11"/>
      <color rgb="FFFF0000"/>
      <name val="Calibri"/>
      <charset val="134"/>
    </font>
    <font>
      <i/>
      <sz val="10"/>
      <name val="Calibri"/>
      <charset val="134"/>
    </font>
    <font>
      <b/>
      <sz val="11"/>
      <name val="Calibri"/>
      <charset val="134"/>
    </font>
    <font>
      <b/>
      <sz val="16"/>
      <color rgb="FFFF0000"/>
      <name val="Calibri"/>
      <charset val="134"/>
    </font>
    <font>
      <b/>
      <i/>
      <sz val="10"/>
      <color rgb="FFFF0000"/>
      <name val="Calibri"/>
      <charset val="134"/>
    </font>
    <font>
      <i/>
      <sz val="9"/>
      <color rgb="FF666666"/>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8"/>
      <name val="Calibri"/>
      <charset val="134"/>
      <scheme val="minor"/>
    </font>
    <font>
      <sz val="10.5"/>
      <color rgb="FFCCCCCC"/>
      <name val="Calibri"/>
      <charset val="134"/>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style="thin">
        <color rgb="FFCCCCCC"/>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style="thin">
        <color rgb="FFCCCCCC"/>
      </right>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5"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4" fillId="0" borderId="0" applyNumberFormat="0" applyFill="0" applyBorder="0" applyAlignment="0" applyProtection="0">
      <alignment vertical="center"/>
    </xf>
    <xf numFmtId="0" fontId="25" fillId="6" borderId="12" applyNumberFormat="0" applyAlignment="0" applyProtection="0">
      <alignment vertical="center"/>
    </xf>
    <xf numFmtId="0" fontId="26" fillId="7" borderId="13" applyNumberFormat="0" applyAlignment="0" applyProtection="0">
      <alignment vertical="center"/>
    </xf>
    <xf numFmtId="0" fontId="27" fillId="7" borderId="12" applyNumberFormat="0" applyAlignment="0" applyProtection="0">
      <alignment vertical="center"/>
    </xf>
    <xf numFmtId="0" fontId="28" fillId="8" borderId="14" applyNumberFormat="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cellStyleXfs>
  <cellXfs count="4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1" xfId="0" applyFont="1" applyBorder="1" applyAlignment="1">
      <alignment horizontal="center" vertical="center" wrapText="1"/>
    </xf>
    <xf numFmtId="0" fontId="7"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xf numFmtId="0" fontId="12" fillId="3" borderId="2" xfId="0" applyFont="1" applyFill="1" applyBorder="1" applyAlignment="1">
      <alignment horizontal="center" vertical="center" wrapText="1"/>
    </xf>
    <xf numFmtId="0" fontId="12" fillId="3" borderId="2" xfId="0" applyFont="1" applyFill="1" applyBorder="1" applyAlignment="1">
      <alignment horizontal="left" vertical="top"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12" fillId="3" borderId="1" xfId="0" applyFont="1" applyFill="1" applyBorder="1" applyAlignment="1">
      <alignment horizontal="left" vertical="top" wrapText="1"/>
    </xf>
    <xf numFmtId="0" fontId="0" fillId="0" borderId="4" xfId="0" applyFill="1" applyBorder="1" applyAlignment="1">
      <alignment horizontal="left" vertical="top" wrapText="1"/>
    </xf>
    <xf numFmtId="0" fontId="2" fillId="0" borderId="0" xfId="0" applyFont="1" applyAlignment="1">
      <alignment horizontal="left" vertical="top" wrapText="1"/>
    </xf>
    <xf numFmtId="0" fontId="0" fillId="0" borderId="5" xfId="0" applyBorder="1" applyAlignment="1">
      <alignment horizontal="center" vertical="top"/>
    </xf>
    <xf numFmtId="0" fontId="0" fillId="0" borderId="6" xfId="0" applyBorder="1" applyAlignment="1">
      <alignment horizontal="center" vertical="top" wrapText="1"/>
    </xf>
    <xf numFmtId="0" fontId="0" fillId="0" borderId="7" xfId="0" applyBorder="1" applyAlignment="1">
      <alignment horizontal="center" vertical="top"/>
    </xf>
    <xf numFmtId="0" fontId="0" fillId="0" borderId="8" xfId="0" applyBorder="1" applyAlignment="1">
      <alignment horizontal="center" vertical="top" wrapText="1"/>
    </xf>
    <xf numFmtId="0" fontId="12" fillId="0" borderId="0" xfId="0" applyFont="1"/>
    <xf numFmtId="0" fontId="0" fillId="4" borderId="0" xfId="0" applyFill="1"/>
    <xf numFmtId="178" fontId="0" fillId="0" borderId="0" xfId="0" applyNumberFormat="1"/>
    <xf numFmtId="0" fontId="15" fillId="0" borderId="0" xfId="0" applyFont="1"/>
    <xf numFmtId="0" fontId="0" fillId="4" borderId="1" xfId="0" applyFill="1" applyBorder="1" applyAlignment="1">
      <alignment horizontal="center" vertical="center" wrapText="1"/>
    </xf>
    <xf numFmtId="0" fontId="0" fillId="0" borderId="1" xfId="0"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114300</xdr:colOff>
      <xdr:row>4</xdr:row>
      <xdr:rowOff>514350</xdr:rowOff>
    </xdr:from>
    <xdr:to>
      <xdr:col>7</xdr:col>
      <xdr:colOff>3561266</xdr:colOff>
      <xdr:row>5</xdr:row>
      <xdr:rowOff>927100</xdr:rowOff>
    </xdr:to>
    <xdr:pic>
      <xdr:nvPicPr>
        <xdr:cNvPr id="2" name="Picture 1"/>
        <xdr:cNvPicPr>
          <a:picLocks noChangeAspect="1"/>
        </xdr:cNvPicPr>
      </xdr:nvPicPr>
      <xdr:blipFill>
        <a:blip r:embed="rId1"/>
        <a:stretch>
          <a:fillRect/>
        </a:stretch>
      </xdr:blipFill>
      <xdr:spPr>
        <a:xfrm>
          <a:off x="23474680" y="2940050"/>
          <a:ext cx="3446780" cy="1682750"/>
        </a:xfrm>
        <a:prstGeom prst="rect">
          <a:avLst/>
        </a:prstGeom>
      </xdr:spPr>
    </xdr:pic>
    <xdr:clientData/>
  </xdr:twoCellAnchor>
  <xdr:twoCellAnchor editAs="oneCell">
    <xdr:from>
      <xdr:col>7</xdr:col>
      <xdr:colOff>3549649</xdr:colOff>
      <xdr:row>4</xdr:row>
      <xdr:rowOff>350060</xdr:rowOff>
    </xdr:from>
    <xdr:to>
      <xdr:col>8</xdr:col>
      <xdr:colOff>0</xdr:colOff>
      <xdr:row>5</xdr:row>
      <xdr:rowOff>514350</xdr:rowOff>
    </xdr:to>
    <xdr:pic>
      <xdr:nvPicPr>
        <xdr:cNvPr id="3" name="Picture 2"/>
        <xdr:cNvPicPr>
          <a:picLocks noChangeAspect="1"/>
        </xdr:cNvPicPr>
      </xdr:nvPicPr>
      <xdr:blipFill>
        <a:blip r:embed="rId2"/>
        <a:stretch>
          <a:fillRect/>
        </a:stretch>
      </xdr:blipFill>
      <xdr:spPr>
        <a:xfrm>
          <a:off x="26909395" y="2775585"/>
          <a:ext cx="3477260" cy="14344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E14" sqref="E14"/>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spans="1:5">
      <c r="A1" s="1" t="s">
        <v>0</v>
      </c>
    </row>
    <row r="3" ht="18" spans="1:5">
      <c r="A3" s="3" t="s">
        <v>1</v>
      </c>
    </row>
    <row r="4" spans="1:5">
      <c r="A4" s="38" t="s">
        <v>2</v>
      </c>
      <c r="C4" t="s">
        <v>3</v>
      </c>
    </row>
    <row r="5" spans="1:5">
      <c r="A5" s="38" t="s">
        <v>4</v>
      </c>
      <c r="C5" t="s">
        <v>5</v>
      </c>
    </row>
    <row r="6" spans="1:5">
      <c r="A6" s="38" t="s">
        <v>6</v>
      </c>
      <c r="C6" t="s">
        <v>7</v>
      </c>
    </row>
    <row r="7" spans="1:5">
      <c r="A7" s="38" t="s">
        <v>8</v>
      </c>
      <c r="C7" t="s">
        <v>9</v>
      </c>
    </row>
    <row r="9" ht="18" spans="1:5">
      <c r="A9" s="3" t="s">
        <v>10</v>
      </c>
    </row>
    <row r="10" spans="1:5">
      <c r="A10" s="38" t="s">
        <v>11</v>
      </c>
      <c r="C10">
        <v>145</v>
      </c>
    </row>
    <row r="11" spans="1:5">
      <c r="A11" s="38" t="s">
        <v>12</v>
      </c>
      <c r="C11" s="39">
        <f>COUNT('2. Detailed Audit Log'!A4:A50)</f>
        <v>23</v>
      </c>
    </row>
    <row r="12" spans="1:5">
      <c r="A12" s="38" t="s">
        <v>13</v>
      </c>
      <c r="C12" s="40">
        <f>C11/C10</f>
        <v>0.158620689655172</v>
      </c>
      <c r="E12" s="41" t="s">
        <v>14</v>
      </c>
    </row>
    <row r="13" spans="1:5">
      <c r="A13" s="38" t="s">
        <v>15</v>
      </c>
      <c r="C13" s="39">
        <f>COUNT('3. Hallucination Detection'!A4:A50)</f>
        <v>21</v>
      </c>
    </row>
    <row r="15" ht="18" spans="1:5">
      <c r="A15" s="3" t="s">
        <v>16</v>
      </c>
    </row>
    <row r="16" spans="1:5">
      <c r="A16" s="4" t="s">
        <v>17</v>
      </c>
      <c r="B16" s="4" t="s">
        <v>18</v>
      </c>
      <c r="C16" s="4" t="s">
        <v>19</v>
      </c>
      <c r="D16" s="4" t="s">
        <v>20</v>
      </c>
    </row>
    <row r="17" spans="1:4">
      <c r="A17" s="26" t="s">
        <v>21</v>
      </c>
      <c r="B17" s="26" t="s">
        <v>22</v>
      </c>
      <c r="C17" s="26" t="s">
        <v>23</v>
      </c>
      <c r="D17" s="26" t="s">
        <v>24</v>
      </c>
    </row>
    <row r="18" spans="1:4">
      <c r="A18" s="26" t="s">
        <v>25</v>
      </c>
      <c r="B18" s="26" t="s">
        <v>26</v>
      </c>
      <c r="C18" s="26" t="s">
        <v>27</v>
      </c>
      <c r="D18" s="26" t="s">
        <v>28</v>
      </c>
    </row>
    <row r="19" spans="1:4">
      <c r="A19" s="26" t="s">
        <v>29</v>
      </c>
      <c r="B19" s="26" t="s">
        <v>30</v>
      </c>
      <c r="C19" s="26" t="s">
        <v>23</v>
      </c>
      <c r="D19" s="26" t="s">
        <v>31</v>
      </c>
    </row>
    <row r="20" spans="1:4">
      <c r="A20" s="26" t="s">
        <v>32</v>
      </c>
      <c r="B20" s="26" t="s">
        <v>26</v>
      </c>
      <c r="C20" s="26" t="s">
        <v>23</v>
      </c>
      <c r="D20" s="26" t="s">
        <v>33</v>
      </c>
    </row>
    <row r="22" ht="18" spans="1:4">
      <c r="A22" s="3" t="s">
        <v>34</v>
      </c>
    </row>
    <row r="23" spans="1:4">
      <c r="A23" s="4" t="s">
        <v>35</v>
      </c>
      <c r="B23" s="4" t="s">
        <v>36</v>
      </c>
      <c r="C23" s="4" t="s">
        <v>37</v>
      </c>
    </row>
    <row r="24" spans="1:4">
      <c r="A24" s="26" t="s">
        <v>38</v>
      </c>
      <c r="B24" s="42">
        <v>5</v>
      </c>
      <c r="C24" s="43" t="s">
        <v>39</v>
      </c>
    </row>
    <row r="25" spans="1:4">
      <c r="A25" s="26" t="s">
        <v>40</v>
      </c>
      <c r="B25" s="42">
        <f>COUNTIF('2. Detailed Audit Log'!C4:C50,"*Pattern Recognition*")</f>
        <v>2</v>
      </c>
      <c r="C25" s="43" t="s">
        <v>39</v>
      </c>
    </row>
    <row r="26" spans="1:4">
      <c r="A26" s="26" t="s">
        <v>41</v>
      </c>
      <c r="B26" s="42">
        <v>7</v>
      </c>
      <c r="C26" s="43" t="s">
        <v>39</v>
      </c>
    </row>
    <row r="27" spans="1:4">
      <c r="A27" s="26" t="s">
        <v>42</v>
      </c>
      <c r="B27" s="42">
        <f>COUNTIF('2. Detailed Audit Log'!C4:C50,"*Algorithm*")+COUNTIF('2. Detailed Audit Log'!C4:C50,"*Logic*")+COUNTIF('2. Detailed Audit Log'!C4:C50,"*Database*")</f>
        <v>10</v>
      </c>
      <c r="C27" s="43" t="s">
        <v>39</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zoomScale="85" zoomScaleNormal="85" topLeftCell="A15" workbookViewId="0">
      <selection activeCell="G7" sqref="G7:G8"/>
    </sheetView>
  </sheetViews>
  <sheetFormatPr defaultColWidth="9" defaultRowHeight="14.4" outlineLevelCol="7"/>
  <cols>
    <col min="1" max="1" width="8" customWidth="1"/>
    <col min="2" max="3" width="18" customWidth="1"/>
    <col min="4" max="4" width="56.3611111111111" customWidth="1"/>
    <col min="5" max="5" width="31.9074074074074" customWidth="1"/>
    <col min="6" max="6" width="35" customWidth="1"/>
    <col min="7" max="7" width="173.361111111111" customWidth="1"/>
    <col min="8" max="8" width="102.453703703704" customWidth="1"/>
  </cols>
  <sheetData>
    <row r="1" ht="21" spans="1:8">
      <c r="A1" s="1" t="s">
        <v>43</v>
      </c>
    </row>
    <row r="2" ht="30" customHeight="1" spans="1:8">
      <c r="A2" s="33" t="s">
        <v>44</v>
      </c>
    </row>
    <row r="3" ht="40" customHeight="1" spans="1:8">
      <c r="A3" s="4" t="s">
        <v>45</v>
      </c>
      <c r="B3" s="4" t="s">
        <v>46</v>
      </c>
      <c r="C3" s="4" t="s">
        <v>47</v>
      </c>
      <c r="D3" s="4" t="s">
        <v>48</v>
      </c>
      <c r="E3" s="4" t="s">
        <v>49</v>
      </c>
      <c r="F3" s="4" t="s">
        <v>50</v>
      </c>
      <c r="G3" s="4" t="s">
        <v>51</v>
      </c>
      <c r="H3" s="4" t="s">
        <v>52</v>
      </c>
    </row>
    <row r="4" ht="100" customHeight="1" spans="1:8">
      <c r="A4" s="26">
        <v>1</v>
      </c>
      <c r="B4" s="26" t="s">
        <v>53</v>
      </c>
      <c r="C4" s="26" t="s">
        <v>38</v>
      </c>
      <c r="D4" s="26" t="s">
        <v>54</v>
      </c>
      <c r="E4" s="26" t="s">
        <v>55</v>
      </c>
      <c r="F4" s="26" t="s">
        <v>56</v>
      </c>
      <c r="G4" s="26" t="s">
        <v>57</v>
      </c>
      <c r="H4" s="26" t="s">
        <v>58</v>
      </c>
    </row>
    <row r="5" ht="100" customHeight="1" spans="1:8">
      <c r="A5" s="24">
        <v>2</v>
      </c>
      <c r="B5" s="24" t="s">
        <v>59</v>
      </c>
      <c r="C5" s="24" t="s">
        <v>41</v>
      </c>
      <c r="D5" s="24" t="s">
        <v>60</v>
      </c>
      <c r="E5" s="24" t="s">
        <v>61</v>
      </c>
      <c r="F5" s="24" t="s">
        <v>62</v>
      </c>
      <c r="G5" s="24" t="s">
        <v>63</v>
      </c>
      <c r="H5" s="24" t="s">
        <v>64</v>
      </c>
    </row>
    <row r="6" ht="100" customHeight="1" spans="1:8">
      <c r="A6" s="25"/>
      <c r="B6" s="25"/>
      <c r="C6" s="25"/>
      <c r="D6" s="25"/>
      <c r="E6" s="25"/>
      <c r="F6" s="25"/>
      <c r="G6" s="25"/>
      <c r="H6" s="25"/>
    </row>
    <row r="7" ht="80" customHeight="1" spans="1:8">
      <c r="A7" s="24">
        <v>3</v>
      </c>
      <c r="B7" s="24" t="s">
        <v>53</v>
      </c>
      <c r="C7" s="34" t="s">
        <v>40</v>
      </c>
      <c r="D7" s="35" t="s">
        <v>65</v>
      </c>
      <c r="E7" s="24" t="s">
        <v>66</v>
      </c>
      <c r="F7" s="24" t="s">
        <v>67</v>
      </c>
      <c r="G7" s="24" t="s">
        <v>68</v>
      </c>
      <c r="H7" s="24" t="s">
        <v>69</v>
      </c>
    </row>
    <row r="8" ht="80" customHeight="1" spans="1:8">
      <c r="A8" s="25"/>
      <c r="B8" s="25"/>
      <c r="C8" s="36"/>
      <c r="D8" s="37"/>
      <c r="E8" s="25"/>
      <c r="F8" s="25"/>
      <c r="G8" s="25"/>
      <c r="H8" s="25"/>
    </row>
    <row r="9" ht="80" customHeight="1" spans="1:8">
      <c r="A9" s="26">
        <v>4</v>
      </c>
      <c r="B9" s="26" t="s">
        <v>59</v>
      </c>
      <c r="C9" s="26" t="s">
        <v>70</v>
      </c>
      <c r="D9" s="26" t="s">
        <v>71</v>
      </c>
      <c r="E9" s="26" t="s">
        <v>72</v>
      </c>
      <c r="F9" s="26" t="s">
        <v>73</v>
      </c>
      <c r="G9" s="26" t="s">
        <v>74</v>
      </c>
      <c r="H9" s="26" t="s">
        <v>75</v>
      </c>
    </row>
    <row r="10" ht="80" customHeight="1" spans="1:8">
      <c r="A10" s="26">
        <v>5</v>
      </c>
      <c r="B10" s="26" t="s">
        <v>53</v>
      </c>
      <c r="C10" s="26" t="s">
        <v>38</v>
      </c>
      <c r="D10" s="26" t="s">
        <v>76</v>
      </c>
      <c r="E10" s="26" t="s">
        <v>77</v>
      </c>
      <c r="F10" s="26" t="s">
        <v>78</v>
      </c>
      <c r="G10" s="26" t="s">
        <v>79</v>
      </c>
      <c r="H10" s="26" t="s">
        <v>80</v>
      </c>
    </row>
    <row r="11" ht="80" customHeight="1" spans="1:8">
      <c r="A11" s="26">
        <v>6</v>
      </c>
      <c r="B11" s="26" t="s">
        <v>53</v>
      </c>
      <c r="C11" s="28" t="s">
        <v>40</v>
      </c>
      <c r="D11" s="26" t="s">
        <v>81</v>
      </c>
      <c r="E11" s="26" t="s">
        <v>82</v>
      </c>
      <c r="F11" s="26" t="s">
        <v>83</v>
      </c>
      <c r="G11" s="26" t="s">
        <v>84</v>
      </c>
      <c r="H11" s="26" t="s">
        <v>85</v>
      </c>
    </row>
    <row r="12" ht="80" customHeight="1" spans="1:8">
      <c r="A12" s="26">
        <v>7</v>
      </c>
      <c r="B12" s="26" t="s">
        <v>59</v>
      </c>
      <c r="C12" s="26" t="s">
        <v>41</v>
      </c>
      <c r="D12" s="26" t="s">
        <v>86</v>
      </c>
      <c r="E12" s="26" t="s">
        <v>87</v>
      </c>
      <c r="F12" s="26" t="s">
        <v>88</v>
      </c>
      <c r="G12" s="26" t="s">
        <v>89</v>
      </c>
      <c r="H12" s="26" t="s">
        <v>90</v>
      </c>
    </row>
    <row r="13" ht="80" customHeight="1" spans="1:8">
      <c r="A13" s="26">
        <v>8</v>
      </c>
      <c r="B13" s="26" t="s">
        <v>59</v>
      </c>
      <c r="C13" s="26" t="s">
        <v>70</v>
      </c>
      <c r="D13" s="26" t="s">
        <v>91</v>
      </c>
      <c r="E13" s="26" t="s">
        <v>92</v>
      </c>
      <c r="F13" s="26" t="s">
        <v>93</v>
      </c>
      <c r="G13" s="26" t="s">
        <v>94</v>
      </c>
      <c r="H13" s="26" t="s">
        <v>95</v>
      </c>
    </row>
    <row r="14" ht="80" customHeight="1" spans="1:8">
      <c r="A14" s="26">
        <v>9</v>
      </c>
      <c r="B14" s="26" t="s">
        <v>53</v>
      </c>
      <c r="C14" s="26" t="s">
        <v>38</v>
      </c>
      <c r="D14" s="26" t="s">
        <v>96</v>
      </c>
      <c r="E14" s="26" t="s">
        <v>97</v>
      </c>
      <c r="F14" s="26" t="s">
        <v>98</v>
      </c>
      <c r="G14" s="26" t="s">
        <v>99</v>
      </c>
      <c r="H14" s="26" t="s">
        <v>100</v>
      </c>
    </row>
    <row r="15" ht="80" customHeight="1" spans="1:8">
      <c r="A15" s="26">
        <v>10</v>
      </c>
      <c r="B15" s="26" t="s">
        <v>59</v>
      </c>
      <c r="C15" s="29" t="s">
        <v>41</v>
      </c>
      <c r="D15" s="26" t="s">
        <v>101</v>
      </c>
      <c r="E15" s="26" t="s">
        <v>102</v>
      </c>
      <c r="F15" s="26" t="s">
        <v>103</v>
      </c>
      <c r="G15" s="26" t="s">
        <v>104</v>
      </c>
      <c r="H15" s="26" t="s">
        <v>105</v>
      </c>
    </row>
    <row r="16" ht="80" customHeight="1" spans="1:8">
      <c r="A16" s="26">
        <v>11</v>
      </c>
      <c r="B16" s="26" t="s">
        <v>59</v>
      </c>
      <c r="C16" s="26" t="s">
        <v>70</v>
      </c>
      <c r="D16" s="26" t="s">
        <v>106</v>
      </c>
      <c r="E16" s="26" t="s">
        <v>107</v>
      </c>
      <c r="F16" s="26" t="s">
        <v>108</v>
      </c>
      <c r="G16" s="26" t="s">
        <v>109</v>
      </c>
      <c r="H16" s="26" t="s">
        <v>110</v>
      </c>
    </row>
    <row r="17" ht="80" customHeight="1" spans="1:8">
      <c r="A17" s="26">
        <v>12</v>
      </c>
      <c r="B17" s="26" t="s">
        <v>59</v>
      </c>
      <c r="C17" s="26" t="s">
        <v>111</v>
      </c>
      <c r="D17" s="26" t="s">
        <v>112</v>
      </c>
      <c r="E17" s="26" t="s">
        <v>113</v>
      </c>
      <c r="F17" s="26" t="s">
        <v>114</v>
      </c>
      <c r="G17" s="26" t="s">
        <v>115</v>
      </c>
      <c r="H17" s="26" t="s">
        <v>116</v>
      </c>
    </row>
    <row r="18" ht="80" customHeight="1" spans="1:8">
      <c r="A18" s="26">
        <v>13</v>
      </c>
      <c r="B18" s="26" t="s">
        <v>53</v>
      </c>
      <c r="C18" s="26" t="s">
        <v>117</v>
      </c>
      <c r="D18" s="26" t="s">
        <v>118</v>
      </c>
      <c r="E18" s="26" t="s">
        <v>119</v>
      </c>
      <c r="F18" s="26" t="s">
        <v>120</v>
      </c>
      <c r="G18" s="26" t="s">
        <v>121</v>
      </c>
      <c r="H18" s="26" t="s">
        <v>122</v>
      </c>
    </row>
    <row r="19" ht="80" customHeight="1" spans="1:8">
      <c r="A19" s="26">
        <v>14</v>
      </c>
      <c r="B19" s="26" t="s">
        <v>123</v>
      </c>
      <c r="C19" s="26" t="s">
        <v>124</v>
      </c>
      <c r="D19" s="26" t="s">
        <v>125</v>
      </c>
      <c r="E19" s="26" t="s">
        <v>126</v>
      </c>
      <c r="F19" s="26" t="s">
        <v>127</v>
      </c>
      <c r="G19" s="26" t="s">
        <v>128</v>
      </c>
      <c r="H19" s="26" t="s">
        <v>129</v>
      </c>
    </row>
    <row r="20" ht="80" customHeight="1" spans="1:8">
      <c r="A20" s="26">
        <v>14</v>
      </c>
      <c r="B20" s="26" t="s">
        <v>59</v>
      </c>
      <c r="C20" s="26" t="s">
        <v>42</v>
      </c>
      <c r="D20" s="26" t="s">
        <v>130</v>
      </c>
      <c r="E20" s="26" t="s">
        <v>131</v>
      </c>
      <c r="F20" s="26" t="s">
        <v>132</v>
      </c>
      <c r="G20" s="26" t="s">
        <v>133</v>
      </c>
      <c r="H20" s="26" t="s">
        <v>134</v>
      </c>
    </row>
    <row r="21" ht="80" customHeight="1" spans="1:8">
      <c r="A21" s="26">
        <v>15</v>
      </c>
      <c r="B21" s="26" t="s">
        <v>53</v>
      </c>
      <c r="C21" s="26" t="s">
        <v>38</v>
      </c>
      <c r="D21" s="26" t="s">
        <v>135</v>
      </c>
      <c r="E21" s="26" t="s">
        <v>136</v>
      </c>
      <c r="F21" s="26" t="s">
        <v>137</v>
      </c>
      <c r="G21" s="26" t="s">
        <v>138</v>
      </c>
      <c r="H21" s="26" t="s">
        <v>139</v>
      </c>
    </row>
    <row r="22" ht="80" customHeight="1" spans="1:8">
      <c r="A22" s="26">
        <v>16</v>
      </c>
      <c r="B22" s="26" t="s">
        <v>59</v>
      </c>
      <c r="C22" s="26" t="s">
        <v>140</v>
      </c>
      <c r="D22" s="26" t="s">
        <v>141</v>
      </c>
      <c r="E22" s="26" t="s">
        <v>142</v>
      </c>
      <c r="F22" s="30" t="s">
        <v>143</v>
      </c>
      <c r="G22" s="26" t="s">
        <v>144</v>
      </c>
      <c r="H22" s="26" t="s">
        <v>145</v>
      </c>
    </row>
    <row r="23" ht="80" customHeight="1" spans="1:8">
      <c r="A23" s="26">
        <v>17</v>
      </c>
      <c r="B23" s="26" t="s">
        <v>123</v>
      </c>
      <c r="C23" s="26" t="s">
        <v>146</v>
      </c>
      <c r="D23" s="26" t="s">
        <v>147</v>
      </c>
      <c r="E23" s="26" t="s">
        <v>148</v>
      </c>
      <c r="F23" s="26" t="s">
        <v>149</v>
      </c>
      <c r="G23" s="26" t="s">
        <v>150</v>
      </c>
      <c r="H23" s="26" t="s">
        <v>151</v>
      </c>
    </row>
    <row r="24" ht="80" customHeight="1" spans="1:8">
      <c r="A24" s="26">
        <v>18</v>
      </c>
      <c r="B24" s="26" t="s">
        <v>59</v>
      </c>
      <c r="C24" s="26" t="s">
        <v>152</v>
      </c>
      <c r="D24" s="26" t="s">
        <v>153</v>
      </c>
      <c r="E24" s="26" t="s">
        <v>154</v>
      </c>
      <c r="F24" s="26" t="s">
        <v>155</v>
      </c>
      <c r="G24" s="26" t="s">
        <v>156</v>
      </c>
      <c r="H24" s="26" t="s">
        <v>157</v>
      </c>
    </row>
    <row r="25" ht="80" customHeight="1" spans="1:8">
      <c r="A25" s="26">
        <v>19</v>
      </c>
      <c r="B25" s="26" t="s">
        <v>53</v>
      </c>
      <c r="C25" s="26" t="s">
        <v>158</v>
      </c>
      <c r="D25" s="26" t="s">
        <v>159</v>
      </c>
      <c r="E25" s="26" t="s">
        <v>160</v>
      </c>
      <c r="F25" s="26" t="s">
        <v>161</v>
      </c>
      <c r="G25" s="26" t="s">
        <v>162</v>
      </c>
      <c r="H25" s="26" t="s">
        <v>163</v>
      </c>
    </row>
    <row r="26" ht="165" customHeight="1" spans="1:8">
      <c r="A26" s="28">
        <v>20</v>
      </c>
      <c r="B26" s="28" t="s">
        <v>59</v>
      </c>
      <c r="C26" s="28" t="s">
        <v>164</v>
      </c>
      <c r="D26" s="28" t="s">
        <v>165</v>
      </c>
      <c r="E26" s="28" t="s">
        <v>166</v>
      </c>
      <c r="F26" s="28" t="s">
        <v>167</v>
      </c>
      <c r="G26" s="28" t="s">
        <v>168</v>
      </c>
      <c r="H26" s="28" t="s">
        <v>169</v>
      </c>
    </row>
    <row r="27" ht="137" customHeight="1" spans="1:8">
      <c r="A27" s="28">
        <v>21</v>
      </c>
      <c r="B27" s="28" t="s">
        <v>59</v>
      </c>
      <c r="C27" s="28" t="s">
        <v>170</v>
      </c>
      <c r="D27" s="28" t="s">
        <v>171</v>
      </c>
      <c r="E27" s="28" t="s">
        <v>172</v>
      </c>
      <c r="F27" s="28" t="s">
        <v>173</v>
      </c>
      <c r="G27" s="28" t="s">
        <v>174</v>
      </c>
      <c r="H27" s="28" t="s">
        <v>175</v>
      </c>
    </row>
    <row r="28" ht="155.5" customHeight="1" spans="1:8">
      <c r="A28" s="28">
        <v>22</v>
      </c>
      <c r="B28" s="28" t="s">
        <v>53</v>
      </c>
      <c r="C28" s="28" t="s">
        <v>176</v>
      </c>
      <c r="D28" s="28" t="s">
        <v>177</v>
      </c>
      <c r="E28" s="28" t="s">
        <v>178</v>
      </c>
      <c r="F28" s="28" t="s">
        <v>179</v>
      </c>
      <c r="G28" s="28" t="s">
        <v>180</v>
      </c>
      <c r="H28" s="28" t="s">
        <v>181</v>
      </c>
    </row>
  </sheetData>
  <mergeCells count="18">
    <mergeCell ref="A1:H1"/>
    <mergeCell ref="A2:H2"/>
    <mergeCell ref="A5:A6"/>
    <mergeCell ref="A7:A8"/>
    <mergeCell ref="B5:B6"/>
    <mergeCell ref="B7:B8"/>
    <mergeCell ref="C5:C6"/>
    <mergeCell ref="C7:C8"/>
    <mergeCell ref="D5:D6"/>
    <mergeCell ref="D7:D8"/>
    <mergeCell ref="E5:E6"/>
    <mergeCell ref="E7:E8"/>
    <mergeCell ref="F5:F6"/>
    <mergeCell ref="F7:F8"/>
    <mergeCell ref="G5:G6"/>
    <mergeCell ref="G7:G8"/>
    <mergeCell ref="H5:H6"/>
    <mergeCell ref="H7:H8"/>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
  <sheetViews>
    <sheetView topLeftCell="A33" workbookViewId="0">
      <selection activeCell="C41" sqref="C41"/>
    </sheetView>
  </sheetViews>
  <sheetFormatPr defaultColWidth="9" defaultRowHeight="14.4" outlineLevelCol="5"/>
  <cols>
    <col min="1" max="1" width="39.5462962962963" customWidth="1"/>
    <col min="2" max="2" width="42.8148148148148" customWidth="1"/>
    <col min="3" max="3" width="41.1759259259259" customWidth="1"/>
    <col min="4" max="4" width="59.2685185185185" customWidth="1"/>
    <col min="5" max="5" width="55.0925925925926" customWidth="1"/>
    <col min="6" max="6" width="56.9074074074074" customWidth="1"/>
  </cols>
  <sheetData>
    <row r="1" ht="21" spans="1:6">
      <c r="A1" s="22" t="s">
        <v>182</v>
      </c>
    </row>
    <row r="2" spans="1:6">
      <c r="A2" s="23" t="s">
        <v>183</v>
      </c>
    </row>
    <row r="3" ht="40" customHeight="1" spans="1:6">
      <c r="A3" s="4" t="s">
        <v>184</v>
      </c>
      <c r="B3" s="4" t="s">
        <v>185</v>
      </c>
      <c r="C3" s="4" t="s">
        <v>186</v>
      </c>
      <c r="D3" s="4" t="s">
        <v>187</v>
      </c>
      <c r="E3" s="4" t="s">
        <v>188</v>
      </c>
      <c r="F3" s="4" t="s">
        <v>189</v>
      </c>
    </row>
    <row r="4" ht="60" customHeight="1" spans="1:6">
      <c r="A4" s="24">
        <v>1</v>
      </c>
      <c r="B4" s="24" t="s">
        <v>190</v>
      </c>
      <c r="C4" s="24" t="s">
        <v>191</v>
      </c>
      <c r="D4" s="24" t="s">
        <v>192</v>
      </c>
      <c r="E4" s="24" t="s">
        <v>193</v>
      </c>
      <c r="F4" s="24" t="s">
        <v>194</v>
      </c>
    </row>
    <row r="5" ht="72.5" customHeight="1" spans="1:6">
      <c r="A5" s="25"/>
      <c r="B5" s="25"/>
      <c r="C5" s="25"/>
      <c r="D5" s="25"/>
      <c r="E5" s="25"/>
      <c r="F5" s="25"/>
    </row>
    <row r="6" ht="60" customHeight="1" spans="1:6">
      <c r="A6" s="26">
        <v>2</v>
      </c>
      <c r="B6" s="27" t="s">
        <v>190</v>
      </c>
      <c r="C6" s="26" t="s">
        <v>195</v>
      </c>
      <c r="D6" s="26" t="s">
        <v>196</v>
      </c>
      <c r="E6" s="28" t="s">
        <v>197</v>
      </c>
      <c r="F6" s="26" t="s">
        <v>198</v>
      </c>
    </row>
    <row r="7" ht="60" customHeight="1" spans="1:6">
      <c r="A7" s="26">
        <v>3</v>
      </c>
      <c r="B7" s="26" t="s">
        <v>199</v>
      </c>
      <c r="C7" s="26" t="s">
        <v>200</v>
      </c>
      <c r="D7" s="26" t="s">
        <v>201</v>
      </c>
      <c r="E7" s="26" t="s">
        <v>202</v>
      </c>
      <c r="F7" s="26" t="s">
        <v>203</v>
      </c>
    </row>
    <row r="8" ht="60" customHeight="1" spans="1:6">
      <c r="A8" s="26">
        <v>4</v>
      </c>
      <c r="B8" s="26" t="s">
        <v>190</v>
      </c>
      <c r="C8" s="26" t="s">
        <v>204</v>
      </c>
      <c r="D8" s="26" t="s">
        <v>205</v>
      </c>
      <c r="E8" s="26" t="s">
        <v>206</v>
      </c>
      <c r="F8" s="26" t="s">
        <v>207</v>
      </c>
    </row>
    <row r="9" ht="60" customHeight="1" spans="1:6">
      <c r="A9" s="26">
        <v>5</v>
      </c>
      <c r="B9" s="26" t="s">
        <v>208</v>
      </c>
      <c r="C9" s="26" t="s">
        <v>209</v>
      </c>
      <c r="D9" s="26" t="s">
        <v>210</v>
      </c>
      <c r="E9" s="26" t="s">
        <v>211</v>
      </c>
      <c r="F9" s="26" t="s">
        <v>212</v>
      </c>
    </row>
    <row r="10" ht="60" customHeight="1" spans="1:6">
      <c r="A10" s="26">
        <v>6</v>
      </c>
      <c r="B10" s="26" t="s">
        <v>213</v>
      </c>
      <c r="C10" s="26" t="s">
        <v>214</v>
      </c>
      <c r="D10" s="26" t="s">
        <v>215</v>
      </c>
      <c r="E10" s="26" t="s">
        <v>216</v>
      </c>
      <c r="F10" s="26" t="s">
        <v>217</v>
      </c>
    </row>
    <row r="11" ht="60" customHeight="1" spans="1:6">
      <c r="A11" s="26">
        <v>7</v>
      </c>
      <c r="B11" s="26" t="s">
        <v>199</v>
      </c>
      <c r="C11" s="26" t="s">
        <v>218</v>
      </c>
      <c r="D11" s="26" t="s">
        <v>219</v>
      </c>
      <c r="E11" s="26" t="s">
        <v>220</v>
      </c>
      <c r="F11" s="26" t="s">
        <v>221</v>
      </c>
    </row>
    <row r="12" ht="60" customHeight="1" spans="1:6">
      <c r="A12" s="26">
        <v>8</v>
      </c>
      <c r="B12" s="26" t="s">
        <v>213</v>
      </c>
      <c r="C12" s="26" t="s">
        <v>222</v>
      </c>
      <c r="D12" s="26" t="s">
        <v>223</v>
      </c>
      <c r="E12" s="26" t="s">
        <v>224</v>
      </c>
      <c r="F12" s="26" t="s">
        <v>225</v>
      </c>
    </row>
    <row r="13" ht="60" customHeight="1" spans="1:6">
      <c r="A13" s="26">
        <v>9</v>
      </c>
      <c r="B13" s="26" t="s">
        <v>226</v>
      </c>
      <c r="C13" s="26" t="s">
        <v>227</v>
      </c>
      <c r="D13" s="26" t="s">
        <v>228</v>
      </c>
      <c r="E13" s="26" t="s">
        <v>229</v>
      </c>
      <c r="F13" s="26" t="s">
        <v>230</v>
      </c>
    </row>
    <row r="14" ht="60" customHeight="1" spans="1:6">
      <c r="A14" s="26">
        <v>10</v>
      </c>
      <c r="B14" s="26" t="s">
        <v>231</v>
      </c>
      <c r="C14" s="26" t="s">
        <v>232</v>
      </c>
      <c r="D14" s="26" t="s">
        <v>233</v>
      </c>
      <c r="E14" s="26" t="s">
        <v>234</v>
      </c>
      <c r="F14" s="26" t="s">
        <v>235</v>
      </c>
    </row>
    <row r="15" ht="60" customHeight="1" spans="1:6">
      <c r="A15" s="26">
        <v>11</v>
      </c>
      <c r="B15" s="26" t="s">
        <v>199</v>
      </c>
      <c r="C15" s="26" t="s">
        <v>236</v>
      </c>
      <c r="D15" s="26" t="s">
        <v>237</v>
      </c>
      <c r="E15" s="26" t="s">
        <v>238</v>
      </c>
      <c r="F15" s="26" t="s">
        <v>239</v>
      </c>
    </row>
    <row r="16" ht="60" customHeight="1" spans="1:6">
      <c r="A16" s="26">
        <v>12</v>
      </c>
      <c r="B16" s="26" t="s">
        <v>240</v>
      </c>
      <c r="C16" s="26" t="s">
        <v>241</v>
      </c>
      <c r="D16" s="26" t="s">
        <v>242</v>
      </c>
      <c r="E16" s="26" t="s">
        <v>243</v>
      </c>
      <c r="F16" s="26" t="s">
        <v>244</v>
      </c>
    </row>
    <row r="17" ht="60" customHeight="1" spans="1:6">
      <c r="A17" s="26">
        <v>13</v>
      </c>
      <c r="B17" s="29" t="s">
        <v>245</v>
      </c>
      <c r="C17" s="26" t="s">
        <v>246</v>
      </c>
      <c r="D17" s="26" t="s">
        <v>247</v>
      </c>
      <c r="E17" s="26" t="s">
        <v>248</v>
      </c>
      <c r="F17" s="26" t="s">
        <v>249</v>
      </c>
    </row>
    <row r="18" ht="60" customHeight="1" spans="1:6">
      <c r="A18" s="26">
        <v>14</v>
      </c>
      <c r="B18" s="26" t="s">
        <v>250</v>
      </c>
      <c r="C18" s="26" t="s">
        <v>251</v>
      </c>
      <c r="D18" s="26" t="s">
        <v>252</v>
      </c>
      <c r="E18" s="26" t="s">
        <v>253</v>
      </c>
      <c r="F18" s="26" t="s">
        <v>254</v>
      </c>
    </row>
    <row r="19" ht="60" customHeight="1" spans="1:6">
      <c r="A19" s="26">
        <v>15</v>
      </c>
      <c r="B19" s="26" t="s">
        <v>255</v>
      </c>
      <c r="C19" s="26" t="s">
        <v>256</v>
      </c>
      <c r="D19" s="26" t="s">
        <v>257</v>
      </c>
      <c r="E19" s="26" t="s">
        <v>258</v>
      </c>
      <c r="F19" s="26" t="s">
        <v>259</v>
      </c>
    </row>
    <row r="20" ht="60" customHeight="1" spans="1:6">
      <c r="A20" s="26">
        <v>16</v>
      </c>
      <c r="B20" s="26" t="s">
        <v>231</v>
      </c>
      <c r="C20" s="26" t="s">
        <v>260</v>
      </c>
      <c r="D20" s="26" t="s">
        <v>261</v>
      </c>
      <c r="E20" s="26" t="s">
        <v>234</v>
      </c>
      <c r="F20" s="26" t="s">
        <v>262</v>
      </c>
    </row>
    <row r="21" ht="60" customHeight="1" spans="1:6">
      <c r="A21" s="26">
        <v>17</v>
      </c>
      <c r="B21" s="26" t="s">
        <v>199</v>
      </c>
      <c r="C21" s="26" t="s">
        <v>263</v>
      </c>
      <c r="D21" s="26" t="s">
        <v>264</v>
      </c>
      <c r="E21" s="26" t="s">
        <v>238</v>
      </c>
      <c r="F21" s="26" t="s">
        <v>265</v>
      </c>
    </row>
    <row r="22" ht="60" customHeight="1" spans="1:6">
      <c r="A22" s="26">
        <v>18</v>
      </c>
      <c r="B22" s="26" t="s">
        <v>240</v>
      </c>
      <c r="C22" s="26" t="s">
        <v>266</v>
      </c>
      <c r="D22" s="26" t="s">
        <v>242</v>
      </c>
      <c r="E22" s="26" t="s">
        <v>243</v>
      </c>
      <c r="F22" s="26" t="s">
        <v>267</v>
      </c>
    </row>
    <row r="23" ht="60" customHeight="1" spans="1:6">
      <c r="A23" s="26">
        <v>19</v>
      </c>
      <c r="B23" s="26" t="s">
        <v>240</v>
      </c>
      <c r="C23" s="26" t="s">
        <v>268</v>
      </c>
      <c r="D23" s="26" t="s">
        <v>269</v>
      </c>
      <c r="E23" s="26" t="s">
        <v>270</v>
      </c>
      <c r="F23" s="26" t="s">
        <v>271</v>
      </c>
    </row>
    <row r="24" ht="60" customHeight="1" spans="1:6">
      <c r="A24" s="26">
        <v>20</v>
      </c>
      <c r="B24" s="26" t="s">
        <v>231</v>
      </c>
      <c r="C24" s="26" t="s">
        <v>272</v>
      </c>
      <c r="D24" s="26" t="s">
        <v>273</v>
      </c>
      <c r="E24" s="26" t="s">
        <v>274</v>
      </c>
      <c r="F24" s="26" t="s">
        <v>275</v>
      </c>
    </row>
    <row r="25" ht="91" customHeight="1" spans="1:6">
      <c r="A25" s="28">
        <v>21</v>
      </c>
      <c r="B25" s="28" t="s">
        <v>240</v>
      </c>
      <c r="C25" s="28" t="s">
        <v>276</v>
      </c>
      <c r="D25" s="28" t="s">
        <v>277</v>
      </c>
      <c r="E25" s="28" t="s">
        <v>278</v>
      </c>
      <c r="F25" s="30" t="s">
        <v>279</v>
      </c>
    </row>
    <row r="30" ht="18" spans="1:6">
      <c r="A30" s="3" t="s">
        <v>280</v>
      </c>
    </row>
    <row r="31" spans="1:6">
      <c r="A31" s="31" t="s">
        <v>281</v>
      </c>
      <c r="B31" s="31" t="s">
        <v>282</v>
      </c>
      <c r="C31" s="31" t="s">
        <v>283</v>
      </c>
    </row>
    <row r="32" spans="1:6">
      <c r="A32" s="26" t="s">
        <v>199</v>
      </c>
      <c r="B32" s="26" t="s">
        <v>284</v>
      </c>
      <c r="C32" s="26" t="s">
        <v>285</v>
      </c>
    </row>
    <row r="33" spans="1:3">
      <c r="A33" s="26" t="s">
        <v>240</v>
      </c>
      <c r="B33" s="26" t="s">
        <v>286</v>
      </c>
      <c r="C33" s="26" t="s">
        <v>287</v>
      </c>
    </row>
    <row r="34" spans="1:3">
      <c r="A34" s="26" t="s">
        <v>288</v>
      </c>
      <c r="B34" s="26" t="s">
        <v>289</v>
      </c>
      <c r="C34" s="26" t="s">
        <v>290</v>
      </c>
    </row>
    <row r="35" spans="1:3">
      <c r="A35" s="26" t="s">
        <v>291</v>
      </c>
      <c r="B35" s="26" t="s">
        <v>292</v>
      </c>
      <c r="C35" s="26" t="s">
        <v>293</v>
      </c>
    </row>
    <row r="36" spans="1:3">
      <c r="A36" s="26" t="s">
        <v>231</v>
      </c>
      <c r="B36" s="26" t="s">
        <v>294</v>
      </c>
      <c r="C36" s="26" t="s">
        <v>295</v>
      </c>
    </row>
    <row r="37" ht="57.6" spans="1:3">
      <c r="A37" s="28" t="s">
        <v>296</v>
      </c>
      <c r="B37" s="28" t="s">
        <v>297</v>
      </c>
      <c r="C37" s="32" t="s">
        <v>298</v>
      </c>
    </row>
    <row r="38" ht="92" customHeight="1" spans="1:3">
      <c r="A38" s="29" t="s">
        <v>299</v>
      </c>
      <c r="B38" s="28" t="s">
        <v>300</v>
      </c>
      <c r="C38" s="32" t="s">
        <v>301</v>
      </c>
    </row>
    <row r="39" ht="66.5" customHeight="1" spans="1:3">
      <c r="A39" s="27" t="s">
        <v>302</v>
      </c>
      <c r="B39" s="28" t="s">
        <v>303</v>
      </c>
      <c r="C39" s="32" t="s">
        <v>304</v>
      </c>
    </row>
    <row r="40" ht="71" customHeight="1"/>
    <row r="41" ht="64.5" customHeight="1"/>
    <row r="42" ht="69" customHeight="1"/>
  </sheetData>
  <mergeCells count="8">
    <mergeCell ref="A1:F1"/>
    <mergeCell ref="A2:F2"/>
    <mergeCell ref="A4:A5"/>
    <mergeCell ref="B4:B5"/>
    <mergeCell ref="C4:C5"/>
    <mergeCell ref="D4:D5"/>
    <mergeCell ref="E4:E5"/>
    <mergeCell ref="F4:F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abSelected="1" topLeftCell="A33" workbookViewId="0">
      <selection activeCell="B66" sqref="B66"/>
    </sheetView>
  </sheetViews>
  <sheetFormatPr defaultColWidth="9" defaultRowHeight="14.4" outlineLevelCol="3"/>
  <cols>
    <col min="1" max="1" width="8" customWidth="1"/>
    <col min="2" max="2" width="60" customWidth="1"/>
    <col min="3" max="3" width="37.5555555555556" customWidth="1"/>
    <col min="4" max="4" width="46.3333333333333" customWidth="1"/>
  </cols>
  <sheetData>
    <row r="1" ht="21" spans="1:4">
      <c r="A1" s="1" t="s">
        <v>305</v>
      </c>
    </row>
    <row r="2" spans="1:4">
      <c r="A2" s="2" t="s">
        <v>306</v>
      </c>
    </row>
    <row r="4" ht="18" spans="1:4">
      <c r="A4" s="3" t="s">
        <v>307</v>
      </c>
    </row>
    <row r="5" spans="1:4">
      <c r="A5" s="4" t="s">
        <v>308</v>
      </c>
      <c r="B5" s="5" t="s">
        <v>309</v>
      </c>
      <c r="C5" s="4" t="s">
        <v>310</v>
      </c>
      <c r="D5" s="5" t="s">
        <v>311</v>
      </c>
    </row>
    <row r="6" ht="41.4" spans="1:4">
      <c r="A6" s="6" t="s">
        <v>312</v>
      </c>
      <c r="B6" s="7" t="s">
        <v>313</v>
      </c>
      <c r="C6" s="8" t="s">
        <v>314</v>
      </c>
      <c r="D6" s="7" t="s">
        <v>315</v>
      </c>
    </row>
    <row r="7" ht="41.4" spans="1:4">
      <c r="A7" s="6" t="s">
        <v>316</v>
      </c>
      <c r="B7" s="7" t="s">
        <v>317</v>
      </c>
      <c r="C7" s="8" t="s">
        <v>314</v>
      </c>
      <c r="D7" s="7" t="s">
        <v>318</v>
      </c>
    </row>
    <row r="8" ht="27.6" spans="1:4">
      <c r="A8" s="6" t="s">
        <v>319</v>
      </c>
      <c r="B8" s="7" t="s">
        <v>320</v>
      </c>
      <c r="C8" s="8" t="s">
        <v>314</v>
      </c>
      <c r="D8" s="7" t="s">
        <v>321</v>
      </c>
    </row>
    <row r="9" ht="27.6" spans="1:4">
      <c r="A9" s="6" t="s">
        <v>322</v>
      </c>
      <c r="B9" s="7" t="s">
        <v>323</v>
      </c>
      <c r="C9" s="8" t="s">
        <v>314</v>
      </c>
      <c r="D9" s="7" t="s">
        <v>324</v>
      </c>
    </row>
    <row r="10" ht="28.8" spans="1:4">
      <c r="A10" s="6" t="s">
        <v>325</v>
      </c>
      <c r="B10" s="7" t="s">
        <v>326</v>
      </c>
      <c r="C10" s="8" t="s">
        <v>314</v>
      </c>
      <c r="D10" s="9" t="s">
        <v>327</v>
      </c>
    </row>
    <row r="12" ht="18" spans="1:4">
      <c r="A12" s="3" t="s">
        <v>328</v>
      </c>
    </row>
    <row r="13" spans="1:4">
      <c r="A13" s="4" t="s">
        <v>308</v>
      </c>
      <c r="B13" s="5" t="s">
        <v>309</v>
      </c>
      <c r="C13" s="4" t="s">
        <v>310</v>
      </c>
      <c r="D13" s="5" t="s">
        <v>329</v>
      </c>
    </row>
    <row r="14" spans="1:4">
      <c r="A14" s="6" t="s">
        <v>312</v>
      </c>
      <c r="B14" s="7" t="s">
        <v>330</v>
      </c>
      <c r="C14" s="8" t="s">
        <v>314</v>
      </c>
      <c r="D14" s="7" t="s">
        <v>331</v>
      </c>
    </row>
    <row r="15" ht="27.6" spans="1:4">
      <c r="A15" s="6" t="s">
        <v>316</v>
      </c>
      <c r="B15" s="7" t="s">
        <v>332</v>
      </c>
      <c r="C15" s="8" t="s">
        <v>314</v>
      </c>
      <c r="D15" s="7" t="s">
        <v>333</v>
      </c>
    </row>
    <row r="16" ht="27.6" spans="1:4">
      <c r="A16" s="6" t="s">
        <v>319</v>
      </c>
      <c r="B16" s="7" t="s">
        <v>334</v>
      </c>
      <c r="C16" s="8" t="s">
        <v>314</v>
      </c>
      <c r="D16" s="7" t="s">
        <v>335</v>
      </c>
    </row>
    <row r="17" spans="1:4">
      <c r="A17" s="6" t="s">
        <v>322</v>
      </c>
      <c r="B17" s="7" t="s">
        <v>336</v>
      </c>
      <c r="C17" s="8" t="s">
        <v>314</v>
      </c>
      <c r="D17" s="10" t="s">
        <v>337</v>
      </c>
    </row>
    <row r="18" spans="1:4">
      <c r="A18" s="6" t="s">
        <v>325</v>
      </c>
      <c r="B18" s="7" t="s">
        <v>338</v>
      </c>
      <c r="C18" s="8" t="s">
        <v>314</v>
      </c>
      <c r="D18" s="7" t="s">
        <v>339</v>
      </c>
    </row>
    <row r="20" ht="15.6" spans="1:4">
      <c r="A20" s="11" t="s">
        <v>340</v>
      </c>
    </row>
    <row r="21" spans="1:4">
      <c r="A21" s="12" t="s">
        <v>341</v>
      </c>
    </row>
    <row r="22" spans="1:4">
      <c r="A22" s="12" t="s">
        <v>342</v>
      </c>
    </row>
    <row r="25" ht="18" spans="1:4">
      <c r="A25" s="3" t="s">
        <v>343</v>
      </c>
    </row>
    <row r="26" spans="1:4">
      <c r="A26" s="13" t="s">
        <v>344</v>
      </c>
    </row>
    <row r="27" spans="1:4">
      <c r="A27" s="14" t="s">
        <v>45</v>
      </c>
      <c r="B27" s="15" t="s">
        <v>345</v>
      </c>
      <c r="C27" s="15" t="s">
        <v>346</v>
      </c>
      <c r="D27" s="15" t="s">
        <v>347</v>
      </c>
    </row>
    <row r="28" spans="1:4">
      <c r="A28" s="16">
        <v>1</v>
      </c>
      <c r="B28" s="17" t="s">
        <v>348</v>
      </c>
      <c r="C28" s="17" t="s">
        <v>349</v>
      </c>
      <c r="D28" s="18" t="s">
        <v>350</v>
      </c>
    </row>
    <row r="29" spans="1:4">
      <c r="A29" s="19">
        <v>2</v>
      </c>
      <c r="B29" s="17" t="s">
        <v>351</v>
      </c>
      <c r="C29" s="17" t="s">
        <v>352</v>
      </c>
      <c r="D29" s="18" t="s">
        <v>353</v>
      </c>
    </row>
    <row r="30" spans="1:4">
      <c r="A30" s="19">
        <v>3</v>
      </c>
      <c r="B30" s="17" t="s">
        <v>354</v>
      </c>
      <c r="C30" s="17" t="s">
        <v>355</v>
      </c>
      <c r="D30" s="18" t="s">
        <v>356</v>
      </c>
    </row>
    <row r="31" spans="1:4">
      <c r="A31" s="19">
        <v>4</v>
      </c>
      <c r="B31" s="17" t="s">
        <v>357</v>
      </c>
      <c r="C31" s="17" t="s">
        <v>358</v>
      </c>
      <c r="D31" s="18" t="s">
        <v>359</v>
      </c>
    </row>
    <row r="32" spans="1:4">
      <c r="A32" s="19">
        <v>5</v>
      </c>
      <c r="B32" s="17" t="s">
        <v>360</v>
      </c>
      <c r="C32" s="17" t="s">
        <v>361</v>
      </c>
      <c r="D32" s="18" t="s">
        <v>362</v>
      </c>
    </row>
    <row r="33" spans="1:4">
      <c r="A33" s="19">
        <v>6</v>
      </c>
      <c r="B33" s="17" t="s">
        <v>363</v>
      </c>
      <c r="C33" s="17" t="s">
        <v>364</v>
      </c>
      <c r="D33" s="18" t="s">
        <v>365</v>
      </c>
    </row>
    <row r="34" spans="1:4">
      <c r="A34" s="19">
        <v>7</v>
      </c>
      <c r="B34" s="17" t="s">
        <v>366</v>
      </c>
      <c r="C34" s="17" t="s">
        <v>367</v>
      </c>
      <c r="D34" s="18" t="s">
        <v>368</v>
      </c>
    </row>
    <row r="35" spans="1:4">
      <c r="A35" s="19">
        <v>8</v>
      </c>
      <c r="B35" s="17" t="s">
        <v>369</v>
      </c>
      <c r="C35" s="17" t="s">
        <v>370</v>
      </c>
      <c r="D35" s="18" t="s">
        <v>371</v>
      </c>
    </row>
    <row r="36" spans="1:4">
      <c r="A36" s="19">
        <v>9</v>
      </c>
      <c r="B36" s="17" t="s">
        <v>372</v>
      </c>
      <c r="C36" s="17" t="s">
        <v>373</v>
      </c>
      <c r="D36" s="18" t="s">
        <v>374</v>
      </c>
    </row>
    <row r="37" spans="1:4">
      <c r="A37" s="19">
        <v>10</v>
      </c>
      <c r="B37" s="17" t="s">
        <v>375</v>
      </c>
      <c r="C37" s="17" t="s">
        <v>376</v>
      </c>
      <c r="D37" s="18" t="s">
        <v>377</v>
      </c>
    </row>
    <row r="38" spans="1:4">
      <c r="A38" s="19">
        <v>11</v>
      </c>
      <c r="B38" s="17" t="s">
        <v>378</v>
      </c>
      <c r="C38" s="17" t="s">
        <v>379</v>
      </c>
      <c r="D38" s="18" t="s">
        <v>380</v>
      </c>
    </row>
    <row r="39" spans="1:4">
      <c r="A39" s="19">
        <v>12</v>
      </c>
      <c r="B39" s="17" t="s">
        <v>381</v>
      </c>
      <c r="C39" s="17" t="s">
        <v>382</v>
      </c>
      <c r="D39" s="18" t="s">
        <v>383</v>
      </c>
    </row>
    <row r="40" spans="1:4">
      <c r="A40" s="19">
        <v>13</v>
      </c>
      <c r="B40" s="17" t="s">
        <v>384</v>
      </c>
      <c r="C40" s="17" t="s">
        <v>385</v>
      </c>
      <c r="D40" s="18" t="s">
        <v>386</v>
      </c>
    </row>
    <row r="41" spans="1:4">
      <c r="A41" s="19">
        <v>14</v>
      </c>
      <c r="B41" s="17" t="s">
        <v>387</v>
      </c>
      <c r="C41" s="17" t="s">
        <v>388</v>
      </c>
      <c r="D41" s="18" t="s">
        <v>389</v>
      </c>
    </row>
    <row r="42" spans="1:4">
      <c r="A42" s="19">
        <v>15</v>
      </c>
      <c r="B42" s="17" t="s">
        <v>390</v>
      </c>
      <c r="C42" s="17" t="s">
        <v>391</v>
      </c>
      <c r="D42" s="18" t="s">
        <v>392</v>
      </c>
    </row>
    <row r="43" spans="1:4">
      <c r="A43" s="19">
        <v>16</v>
      </c>
      <c r="B43" s="17" t="s">
        <v>393</v>
      </c>
      <c r="C43" s="17" t="s">
        <v>394</v>
      </c>
      <c r="D43" s="18" t="s">
        <v>395</v>
      </c>
    </row>
    <row r="44" spans="1:4">
      <c r="A44" s="19">
        <v>17</v>
      </c>
      <c r="B44" s="17" t="s">
        <v>396</v>
      </c>
      <c r="C44" s="17" t="s">
        <v>397</v>
      </c>
      <c r="D44" s="18" t="s">
        <v>398</v>
      </c>
    </row>
    <row r="45" spans="1:4">
      <c r="A45" s="19">
        <v>18</v>
      </c>
      <c r="B45" s="17" t="s">
        <v>399</v>
      </c>
      <c r="C45" s="17" t="s">
        <v>400</v>
      </c>
      <c r="D45" s="18" t="s">
        <v>401</v>
      </c>
    </row>
    <row r="46" spans="1:4">
      <c r="A46" s="19">
        <v>19</v>
      </c>
      <c r="B46" s="17" t="s">
        <v>402</v>
      </c>
      <c r="C46" s="17" t="s">
        <v>403</v>
      </c>
      <c r="D46" s="18" t="s">
        <v>404</v>
      </c>
    </row>
    <row r="47" spans="1:4">
      <c r="A47" s="19">
        <v>20</v>
      </c>
      <c r="B47" s="17" t="s">
        <v>405</v>
      </c>
      <c r="C47" s="17" t="s">
        <v>406</v>
      </c>
      <c r="D47" s="18" t="s">
        <v>407</v>
      </c>
    </row>
    <row r="48" spans="1:4">
      <c r="A48" s="19">
        <v>21</v>
      </c>
      <c r="B48" s="17" t="s">
        <v>408</v>
      </c>
      <c r="C48" s="17" t="s">
        <v>409</v>
      </c>
      <c r="D48" s="18" t="s">
        <v>410</v>
      </c>
    </row>
    <row r="49" spans="1:4">
      <c r="A49" s="19">
        <v>22</v>
      </c>
      <c r="B49" s="20" t="s">
        <v>411</v>
      </c>
      <c r="C49" s="20" t="s">
        <v>412</v>
      </c>
      <c r="D49" s="21" t="s">
        <v>413</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2026-05-07T22:28:00Z</dcterms:created>
  <dcterms:modified xsi:type="dcterms:W3CDTF">2026-07-22T09:27:33Z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71F7287B26314D969C479012592256C0_12</vt:lpwstr>
  </property>
  <property fmtid="{D5CDD505-2E9C-101B-9397-08002B2CF9AE}" pid="3" name="KSOProductBuildVer">
    <vt:lpwstr>1033-12.1.0.27458</vt:lpwstr>
  </property>
  <property fmtid="{D5CDD505-2E9C-101B-9397-08002B2CF9AE}" pid="4" name="CalculationRule">
    <vt:i4>0</vt:i4>
  </property>
</Properties>
</file>